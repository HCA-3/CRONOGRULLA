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sant\Downloads\"/>
    </mc:Choice>
  </mc:AlternateContent>
  <xr:revisionPtr revIDLastSave="0" documentId="13_ncr:1_{4157B898-C9D5-4070-8925-1AB0B3A251DF}" xr6:coauthVersionLast="47" xr6:coauthVersionMax="47" xr10:uidLastSave="{00000000-0000-0000-0000-000000000000}"/>
  <bookViews>
    <workbookView xWindow="-120" yWindow="-120" windowWidth="20730" windowHeight="11040" xr2:uid="{00000000-000D-0000-FFFF-FFFF00000000}"/>
  </bookViews>
  <sheets>
    <sheet name="TE 5 Lecturas" sheetId="1" r:id="rId1"/>
    <sheet name="TE 10 Lecturas" sheetId="2" r:id="rId2"/>
    <sheet name="TABLA MAYTAG"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58" i="1" l="1"/>
  <c r="F151" i="1"/>
  <c r="F154" i="1"/>
  <c r="E162" i="1" s="1"/>
  <c r="K155" i="1"/>
  <c r="D151" i="1"/>
  <c r="G24" i="1"/>
  <c r="J75" i="1"/>
  <c r="G75" i="1"/>
  <c r="J78" i="1"/>
  <c r="G78" i="1"/>
  <c r="D75" i="1"/>
  <c r="D78" i="1" s="1"/>
  <c r="D27" i="1"/>
  <c r="D24" i="1"/>
  <c r="J24" i="1"/>
  <c r="D154" i="1"/>
  <c r="I100" i="1"/>
  <c r="E38" i="1"/>
  <c r="G81" i="1" l="1"/>
  <c r="F89" i="1"/>
  <c r="J142" i="2" l="1"/>
  <c r="J145" i="2" s="1"/>
  <c r="I142" i="2"/>
  <c r="I145" i="2" s="1"/>
  <c r="E138" i="2"/>
  <c r="E141" i="2" s="1"/>
  <c r="D138" i="2"/>
  <c r="D141" i="2" s="1"/>
  <c r="E148" i="2" s="1"/>
  <c r="D156" i="2" s="1"/>
  <c r="E167" i="2" s="1"/>
  <c r="J90" i="2"/>
  <c r="J94" i="2" s="1"/>
  <c r="F105" i="2" s="1"/>
  <c r="I90" i="2"/>
  <c r="I94" i="2" s="1"/>
  <c r="F104" i="2" s="1"/>
  <c r="K87" i="2"/>
  <c r="K90" i="2" s="1"/>
  <c r="K94" i="2" s="1"/>
  <c r="F106" i="2" s="1"/>
  <c r="J87" i="2"/>
  <c r="I87" i="2"/>
  <c r="J68" i="2"/>
  <c r="G68" i="2"/>
  <c r="D68" i="2"/>
  <c r="J65" i="2"/>
  <c r="G65" i="2"/>
  <c r="D65" i="2"/>
  <c r="K39" i="2"/>
  <c r="K44" i="2" s="1"/>
  <c r="H38" i="2"/>
  <c r="E38" i="2"/>
  <c r="H37" i="2"/>
  <c r="H39" i="2" s="1"/>
  <c r="H44" i="2" s="1"/>
  <c r="E37" i="2"/>
  <c r="E39" i="2" s="1"/>
  <c r="E44" i="2" s="1"/>
  <c r="J26" i="2"/>
  <c r="H76" i="2" s="1"/>
  <c r="E106" i="2" s="1"/>
  <c r="J23" i="2"/>
  <c r="G23" i="2"/>
  <c r="G26" i="2" s="1"/>
  <c r="D23" i="2"/>
  <c r="D26" i="2" s="1"/>
  <c r="J155" i="1"/>
  <c r="J158" i="1" s="1"/>
  <c r="I155" i="1"/>
  <c r="I158" i="1" s="1"/>
  <c r="E151" i="1"/>
  <c r="E154" i="1" s="1"/>
  <c r="E160" i="1" s="1"/>
  <c r="K100" i="1"/>
  <c r="K103" i="1" s="1"/>
  <c r="K107" i="1" s="1"/>
  <c r="F119" i="1" s="1"/>
  <c r="J100" i="1"/>
  <c r="J103" i="1" s="1"/>
  <c r="J107" i="1" s="1"/>
  <c r="F118" i="1" s="1"/>
  <c r="I103" i="1"/>
  <c r="G89" i="1"/>
  <c r="E118" i="1" s="1"/>
  <c r="H89" i="1"/>
  <c r="E119" i="1" s="1"/>
  <c r="K39" i="1"/>
  <c r="H39" i="1"/>
  <c r="E39" i="1"/>
  <c r="E40" i="1" s="1"/>
  <c r="E45" i="1" s="1"/>
  <c r="K38" i="1"/>
  <c r="H38" i="1"/>
  <c r="J27" i="1"/>
  <c r="K46" i="1" s="1"/>
  <c r="G27" i="1"/>
  <c r="G30" i="1" s="1"/>
  <c r="E48" i="1" l="1"/>
  <c r="D168" i="1"/>
  <c r="E161" i="1"/>
  <c r="D169" i="1" s="1"/>
  <c r="E180" i="1" s="1"/>
  <c r="K40" i="1"/>
  <c r="K45" i="1" s="1"/>
  <c r="K48" i="1" s="1"/>
  <c r="D59" i="1" s="1"/>
  <c r="H40" i="1"/>
  <c r="H45" i="1" s="1"/>
  <c r="H46" i="1"/>
  <c r="I107" i="1"/>
  <c r="F117" i="1" s="1"/>
  <c r="E45" i="2"/>
  <c r="F76" i="2"/>
  <c r="E104" i="2" s="1"/>
  <c r="G104" i="2" s="1"/>
  <c r="G29" i="2"/>
  <c r="G106" i="2"/>
  <c r="D168" i="2" s="1"/>
  <c r="G168" i="2" s="1"/>
  <c r="D170" i="1"/>
  <c r="E181" i="1" s="1"/>
  <c r="E179" i="1"/>
  <c r="E47" i="2"/>
  <c r="D56" i="2" s="1"/>
  <c r="G119" i="1"/>
  <c r="E149" i="2"/>
  <c r="D157" i="2" s="1"/>
  <c r="E168" i="2" s="1"/>
  <c r="E147" i="2"/>
  <c r="D155" i="2" s="1"/>
  <c r="E166" i="2" s="1"/>
  <c r="E46" i="1"/>
  <c r="H45" i="2"/>
  <c r="H47" i="2" s="1"/>
  <c r="D57" i="2" s="1"/>
  <c r="G76" i="2"/>
  <c r="E105" i="2" s="1"/>
  <c r="G105" i="2" s="1"/>
  <c r="D167" i="2" s="1"/>
  <c r="G167" i="2" s="1"/>
  <c r="G118" i="1"/>
  <c r="D180" i="1" s="1"/>
  <c r="E117" i="1"/>
  <c r="K45" i="2"/>
  <c r="K47" i="2" s="1"/>
  <c r="D58" i="2" s="1"/>
  <c r="G180" i="1" l="1"/>
  <c r="H196" i="1" s="1"/>
  <c r="H48" i="1"/>
  <c r="D58" i="1" s="1"/>
  <c r="D57" i="1"/>
  <c r="G117" i="1"/>
  <c r="D181" i="1"/>
  <c r="G181" i="1" s="1"/>
  <c r="I196" i="1" s="1"/>
  <c r="D166" i="2"/>
  <c r="G166" i="2" s="1"/>
  <c r="G170" i="2" s="1"/>
  <c r="J104" i="2"/>
  <c r="J117" i="1" l="1"/>
  <c r="D179" i="1"/>
  <c r="G179" i="1"/>
  <c r="G183" i="1" l="1"/>
  <c r="G196" i="1"/>
  <c r="G197" i="1" s="1"/>
  <c r="E201" i="1" l="1"/>
  <c r="E199" i="1"/>
</calcChain>
</file>

<file path=xl/sharedStrings.xml><?xml version="1.0" encoding="utf-8"?>
<sst xmlns="http://schemas.openxmlformats.org/spreadsheetml/2006/main" count="635" uniqueCount="225">
  <si>
    <t>Ejemplo de Aplicación para Cálculo de Tiempo Estándard.</t>
  </si>
  <si>
    <t>Paso 1</t>
  </si>
  <si>
    <t>Siguiendo Método Maytag, determinar si la duración de la actividad es,</t>
  </si>
  <si>
    <t>a)</t>
  </si>
  <si>
    <t>2.0 minutos o menos, entonces, tomar 10 lecturas</t>
  </si>
  <si>
    <t>b)</t>
  </si>
  <si>
    <t>más de 2.0 minutos, entonces, tomar 5 lecturas</t>
  </si>
  <si>
    <t>Paso 2</t>
  </si>
  <si>
    <t>Tomar las lecturas de tiempo iniciales para cada una de las actividades que integran mi proceso y calcular tiempos de ciclo</t>
  </si>
  <si>
    <t>Actividad 1</t>
  </si>
  <si>
    <t>Actividad 2</t>
  </si>
  <si>
    <t>Actividad 3</t>
  </si>
  <si>
    <t>Lectura</t>
  </si>
  <si>
    <t>Duración</t>
  </si>
  <si>
    <t>min</t>
  </si>
  <si>
    <t>Promedio Act 1</t>
  </si>
  <si>
    <t>Promedio Act 2</t>
  </si>
  <si>
    <t>Promedio Act 3</t>
  </si>
  <si>
    <t>Cálculo:</t>
  </si>
  <si>
    <t>Fórmula:</t>
  </si>
  <si>
    <t>Tiempo de Ciclo Individual</t>
  </si>
  <si>
    <t>minutos</t>
  </si>
  <si>
    <t>Tiempo de Ciclo TOTAL Inicial</t>
  </si>
  <si>
    <t>Cálculo: =D23+G23+J23</t>
  </si>
  <si>
    <t>Este tiempo equivale al tiempo promedio total del proceso (X), porque para calcularlo, utilizo los tiempos promedio de cada actividad.</t>
  </si>
  <si>
    <t>Paso 3</t>
  </si>
  <si>
    <t>Calcular Rango y Factor R/X</t>
  </si>
  <si>
    <r>
      <rPr>
        <b/>
        <sz val="12"/>
        <color rgb="FF366092"/>
        <rFont val="Calibri"/>
        <family val="2"/>
      </rPr>
      <t>RANGO</t>
    </r>
    <r>
      <rPr>
        <sz val="12"/>
        <color rgb="FF366092"/>
        <rFont val="Calibri"/>
        <family val="2"/>
      </rPr>
      <t xml:space="preserve"> </t>
    </r>
  </si>
  <si>
    <r>
      <rPr>
        <b/>
        <sz val="12"/>
        <color rgb="FF366092"/>
        <rFont val="Calibri"/>
        <family val="2"/>
      </rPr>
      <t>RANGO</t>
    </r>
    <r>
      <rPr>
        <sz val="12"/>
        <color rgb="FF366092"/>
        <rFont val="Calibri"/>
        <family val="2"/>
      </rPr>
      <t xml:space="preserve"> </t>
    </r>
  </si>
  <si>
    <r>
      <rPr>
        <b/>
        <sz val="12"/>
        <color rgb="FF366092"/>
        <rFont val="Calibri"/>
        <family val="2"/>
      </rPr>
      <t>RANGO</t>
    </r>
    <r>
      <rPr>
        <sz val="12"/>
        <color rgb="FF366092"/>
        <rFont val="Calibri"/>
        <family val="2"/>
      </rPr>
      <t xml:space="preserve"> </t>
    </r>
  </si>
  <si>
    <t>Cálculo: Valor máximo - Valor mínimo</t>
  </si>
  <si>
    <t>Valor máximo</t>
  </si>
  <si>
    <t>Valor mínimo</t>
  </si>
  <si>
    <t>RANGO (R)</t>
  </si>
  <si>
    <t>Factor R/X</t>
  </si>
  <si>
    <r>
      <rPr>
        <b/>
        <sz val="12"/>
        <color rgb="FF366092"/>
        <rFont val="Calibri"/>
        <family val="2"/>
      </rPr>
      <t xml:space="preserve">Cálculo: </t>
    </r>
    <r>
      <rPr>
        <b/>
        <u/>
        <sz val="12"/>
        <color rgb="FF366092"/>
        <rFont val="Calibri"/>
        <family val="2"/>
      </rPr>
      <t xml:space="preserve">                        Rango (R)                           
</t>
    </r>
    <r>
      <rPr>
        <b/>
        <sz val="12"/>
        <color rgb="FF366092"/>
        <rFont val="Calibri"/>
        <family val="2"/>
      </rPr>
      <t xml:space="preserve">                            Tiempo de Ciclo Individual (X)</t>
    </r>
  </si>
  <si>
    <r>
      <rPr>
        <b/>
        <sz val="12"/>
        <color rgb="FF366092"/>
        <rFont val="Calibri"/>
        <family val="2"/>
      </rPr>
      <t xml:space="preserve">Cálculo: </t>
    </r>
    <r>
      <rPr>
        <b/>
        <u/>
        <sz val="12"/>
        <color rgb="FF366092"/>
        <rFont val="Calibri"/>
        <family val="2"/>
      </rPr>
      <t xml:space="preserve">                        Rango (R)                           
</t>
    </r>
    <r>
      <rPr>
        <b/>
        <sz val="12"/>
        <color rgb="FF366092"/>
        <rFont val="Calibri"/>
        <family val="2"/>
      </rPr>
      <t xml:space="preserve">                            Tiempo de Ciclo Individual (X)</t>
    </r>
  </si>
  <si>
    <r>
      <rPr>
        <b/>
        <sz val="12"/>
        <color rgb="FF366092"/>
        <rFont val="Calibri"/>
        <family val="2"/>
      </rPr>
      <t xml:space="preserve">Cálculo: </t>
    </r>
    <r>
      <rPr>
        <b/>
        <u/>
        <sz val="12"/>
        <color rgb="FF366092"/>
        <rFont val="Calibri"/>
        <family val="2"/>
      </rPr>
      <t xml:space="preserve">                        Rango (R)                           
</t>
    </r>
    <r>
      <rPr>
        <b/>
        <sz val="12"/>
        <color rgb="FF366092"/>
        <rFont val="Calibri"/>
        <family val="2"/>
      </rPr>
      <t xml:space="preserve">                            Tiempo de Ciclo Individual (X)</t>
    </r>
  </si>
  <si>
    <t>Rango</t>
  </si>
  <si>
    <t xml:space="preserve">Tiempo ciclo individual </t>
  </si>
  <si>
    <t>Paso 4</t>
  </si>
  <si>
    <t>Obtener el número de lecturas necesario en la columna correcta de la tabla Maytag utilizando el R/X y calcular nuevamente el los tiempos de ciclo (considerando el número de lecturas inicial, en este caso, columna de 10 lecturas).</t>
  </si>
  <si>
    <r>
      <rPr>
        <sz val="12"/>
        <color rgb="FF366092"/>
        <rFont val="Calibri"/>
        <family val="2"/>
      </rPr>
      <t xml:space="preserve">Para un valor de Factor R/X </t>
    </r>
    <r>
      <rPr>
        <b/>
        <sz val="12"/>
        <color rgb="FF366092"/>
        <rFont val="Calibri"/>
        <family val="2"/>
      </rPr>
      <t>distinto</t>
    </r>
    <r>
      <rPr>
        <sz val="12"/>
        <color rgb="FF366092"/>
        <rFont val="Calibri"/>
        <family val="2"/>
      </rPr>
      <t>, realizar las lecturas indicadas en la columna adecuada de la</t>
    </r>
    <r>
      <rPr>
        <b/>
        <sz val="12"/>
        <color rgb="FF366092"/>
        <rFont val="Calibri"/>
        <family val="2"/>
      </rPr>
      <t xml:space="preserve"> tabla Maytag</t>
    </r>
    <r>
      <rPr>
        <sz val="12"/>
        <color rgb="FF366092"/>
        <rFont val="Calibri"/>
        <family val="2"/>
      </rPr>
      <t xml:space="preserve">. Si el número de lecturas solicitado en la tabla, es mayor que el número de lecturas inicial (5 lecturas), completar las lecturas faltantes y calcular nuevamente tiempos de ciclo individual y tiempo de ciclo total para trabajar en el </t>
    </r>
    <r>
      <rPr>
        <b/>
        <sz val="12"/>
        <color rgb="FF366092"/>
        <rFont val="Calibri"/>
        <family val="2"/>
      </rPr>
      <t>PASO 5</t>
    </r>
    <r>
      <rPr>
        <sz val="12"/>
        <color rgb="FF366092"/>
        <rFont val="Calibri"/>
        <family val="2"/>
      </rPr>
      <t xml:space="preserve">. Si el número de lecturas solicitado en tabla, es menor que el número de lecturas inicial (5 lecturas), quedarse con los valores de tiempo de ciclo iniciales del </t>
    </r>
    <r>
      <rPr>
        <b/>
        <sz val="12"/>
        <color rgb="FF366092"/>
        <rFont val="Calibri"/>
        <family val="2"/>
      </rPr>
      <t>PASO 2</t>
    </r>
    <r>
      <rPr>
        <sz val="12"/>
        <color rgb="FF366092"/>
        <rFont val="Calibri"/>
        <family val="2"/>
      </rPr>
      <t xml:space="preserve"> y trabajar con esos números en el </t>
    </r>
    <r>
      <rPr>
        <b/>
        <sz val="12"/>
        <color rgb="FF366092"/>
        <rFont val="Calibri"/>
        <family val="2"/>
      </rPr>
      <t>PASO 5</t>
    </r>
    <r>
      <rPr>
        <sz val="12"/>
        <color rgb="FF366092"/>
        <rFont val="Calibri"/>
        <family val="2"/>
      </rPr>
      <t>.</t>
    </r>
  </si>
  <si>
    <t>Actividad</t>
  </si>
  <si>
    <t>Factor Tabla</t>
  </si>
  <si>
    <t>Lecturas Columna</t>
  </si>
  <si>
    <t>Cálculo: =D77+G77+J77</t>
  </si>
  <si>
    <t>Para el caso específico de este ejemplo, siendo mayor el número de lecturas necesario (8 lecturas vs 5 iniciales) para la actividad 2, utiliza el tiempo de ciclo resultante de las 8 lecturas, obtenida en el PASO 4 y también para las actividades 1 y 3, ya que por el valor resultante de R/X solicita solamente 3 lecturas y ya tenemos 5 lecturas, aprovéchalas.</t>
  </si>
  <si>
    <t>Tiempo de Ciclo Individual (minutos)</t>
  </si>
  <si>
    <t>&lt;&lt;&lt;&lt;&lt;&lt;&lt;&lt;&lt;&lt;&lt;&lt;---</t>
  </si>
  <si>
    <t>Obtenidos en PASO 4</t>
  </si>
  <si>
    <t>Paso 5</t>
  </si>
  <si>
    <t>Calificar la Actuación del operador para cada actividad utlizando la tabla Westinghouse y obtener el Factor del Valor de la Actuación</t>
  </si>
  <si>
    <t>Habilidad</t>
  </si>
  <si>
    <t>Esfuerzo</t>
  </si>
  <si>
    <t>Condiciones</t>
  </si>
  <si>
    <t>Consistencia</t>
  </si>
  <si>
    <t>Actuación</t>
  </si>
  <si>
    <r>
      <rPr>
        <i/>
        <sz val="10"/>
        <color rgb="FF366092"/>
        <rFont val="Calibri"/>
        <family val="2"/>
      </rPr>
      <t>=SUMA(</t>
    </r>
    <r>
      <rPr>
        <i/>
        <sz val="10"/>
        <color rgb="FF366092"/>
        <rFont val="Calibri"/>
        <family val="2"/>
      </rPr>
      <t>J95:J98)</t>
    </r>
  </si>
  <si>
    <r>
      <rPr>
        <i/>
        <sz val="10"/>
        <color rgb="FF366092"/>
        <rFont val="Calibri"/>
        <family val="2"/>
      </rPr>
      <t>=SUMA(</t>
    </r>
    <r>
      <rPr>
        <i/>
        <sz val="10"/>
        <color rgb="FF366092"/>
        <rFont val="Calibri"/>
        <family val="2"/>
      </rPr>
      <t>K95:K98)</t>
    </r>
  </si>
  <si>
    <t>Valor de la Actuación V.A.</t>
  </si>
  <si>
    <t>Factor del Valor de Actuación</t>
  </si>
  <si>
    <t xml:space="preserve">     =  1  +  V.A.</t>
  </si>
  <si>
    <t xml:space="preserve">    =  1  +  V.A.</t>
  </si>
  <si>
    <t xml:space="preserve"> =  1  +  V.A.</t>
  </si>
  <si>
    <t xml:space="preserve">     =  1  +  0.25</t>
  </si>
  <si>
    <t xml:space="preserve">    =  1  +  0.22</t>
  </si>
  <si>
    <t xml:space="preserve"> =  1  +  0.33</t>
  </si>
  <si>
    <t>Paso 6</t>
  </si>
  <si>
    <t>Calcular los Tiempos normales (TN) de cada actividad y del proceso.</t>
  </si>
  <si>
    <t>Tiempo Normal individual</t>
  </si>
  <si>
    <t xml:space="preserve">     =  Tiempo de ciclo individual   x   Factor del Valor de la Actuación</t>
  </si>
  <si>
    <t>Tiempo Ciclo individual (Min)</t>
  </si>
  <si>
    <t>Factor del V.A.</t>
  </si>
  <si>
    <t>Tiempo Normal Individual</t>
  </si>
  <si>
    <t>Tiempo Normal del Proceso</t>
  </si>
  <si>
    <r>
      <rPr>
        <sz val="12"/>
        <color rgb="FF366092"/>
        <rFont val="Calibri"/>
        <family val="2"/>
      </rPr>
      <t>Cálculo:  =</t>
    </r>
    <r>
      <rPr>
        <sz val="12"/>
        <color rgb="FF366092"/>
        <rFont val="Calibri"/>
        <family val="2"/>
      </rPr>
      <t>G116</t>
    </r>
    <r>
      <rPr>
        <sz val="12"/>
        <color rgb="FF366092"/>
        <rFont val="Calibri"/>
        <family val="2"/>
      </rPr>
      <t>+</t>
    </r>
    <r>
      <rPr>
        <sz val="12"/>
        <color rgb="FF366092"/>
        <rFont val="Calibri"/>
        <family val="2"/>
      </rPr>
      <t>G117</t>
    </r>
    <r>
      <rPr>
        <sz val="12"/>
        <color rgb="FF366092"/>
        <rFont val="Calibri"/>
        <family val="2"/>
      </rPr>
      <t>+</t>
    </r>
    <r>
      <rPr>
        <sz val="12"/>
        <color rgb="FF366092"/>
        <rFont val="Calibri"/>
        <family val="2"/>
      </rPr>
      <t>G118</t>
    </r>
  </si>
  <si>
    <t>Paso 7</t>
  </si>
  <si>
    <t>Calcular el Factor de Suplementos  (Tabla de Suplementos de la OIT)</t>
  </si>
  <si>
    <t>Los valores expresados en la tabla de suplementos, corresponden al porcentaje calculado de tiempo que se debe agregar al Tiempo Normal para incluir las diferentes incidencias que impactan la  actividad analizada. Hay valores diferentes para Hombre y para Mujeres y existen diferentes categorías de suplementos.</t>
  </si>
  <si>
    <t>Si la actividad es realizada tanto por hombres como por mujeres, lo más preciso es calcular los factores para ambos escenarios y luego calcular un promedio de suplementos. Si se requiere aún más precisión, se podría medir ambos escenarios desde los tiempos de ciclos individuales, y continuar con el cálculo de cada escenario hasta obetener el tiempo estándard individual y luego obtener el tiempo estándard de ciclo.</t>
  </si>
  <si>
    <t>Para este ejemplo, diremos que las actividades 1 y 3 son realizadas solamente por mujeres y que la actividad 2, es realizada solamente por hombres. Para los suplementos variables de este ejemplo, consideraremos:</t>
  </si>
  <si>
    <t>Suplemento Variable</t>
  </si>
  <si>
    <t>Hombre</t>
  </si>
  <si>
    <t>Mujer</t>
  </si>
  <si>
    <t>Trabajo sentado</t>
  </si>
  <si>
    <t>Postura Incómoda</t>
  </si>
  <si>
    <t>Suplementos Básicos</t>
  </si>
  <si>
    <t>Peso levantado 10kg</t>
  </si>
  <si>
    <t>Suplemento</t>
  </si>
  <si>
    <t>Iluminación ligeramente 
por debajo de potencia</t>
  </si>
  <si>
    <t>Necesidades Personales</t>
  </si>
  <si>
    <t>Condiciones Atmosféricas KATA 10</t>
  </si>
  <si>
    <t>Fatiga</t>
  </si>
  <si>
    <t>Tensión Visual  cierta precisión</t>
  </si>
  <si>
    <t>Ruido  continuo</t>
  </si>
  <si>
    <t>Total Básicos</t>
  </si>
  <si>
    <t>Proceso muy complejo</t>
  </si>
  <si>
    <r>
      <rPr>
        <sz val="12"/>
        <color rgb="FF366092"/>
        <rFont val="Calibri"/>
        <family val="2"/>
      </rPr>
      <t>=</t>
    </r>
    <r>
      <rPr>
        <sz val="12"/>
        <color rgb="FF366092"/>
        <rFont val="Calibri"/>
        <family val="2"/>
      </rPr>
      <t>E147</t>
    </r>
    <r>
      <rPr>
        <sz val="12"/>
        <color rgb="FF366092"/>
        <rFont val="Calibri"/>
        <family val="2"/>
      </rPr>
      <t>+</t>
    </r>
    <r>
      <rPr>
        <sz val="12"/>
        <color rgb="FF366092"/>
        <rFont val="Calibri"/>
        <family val="2"/>
      </rPr>
      <t>E148</t>
    </r>
  </si>
  <si>
    <t>Trabajo Monótono</t>
  </si>
  <si>
    <t>Trabajo aburrido</t>
  </si>
  <si>
    <t>Procentaje de Básicos</t>
  </si>
  <si>
    <r>
      <rPr>
        <sz val="12"/>
        <color rgb="FF366092"/>
        <rFont val="Calibri"/>
        <family val="2"/>
      </rPr>
      <t>=</t>
    </r>
    <r>
      <rPr>
        <sz val="12"/>
        <color rgb="FF366092"/>
        <rFont val="Calibri"/>
        <family val="2"/>
      </rPr>
      <t>D150</t>
    </r>
    <r>
      <rPr>
        <sz val="12"/>
        <color rgb="FF366092"/>
        <rFont val="Calibri"/>
        <family val="2"/>
      </rPr>
      <t>/</t>
    </r>
    <r>
      <rPr>
        <sz val="12"/>
        <color rgb="FF366092"/>
        <rFont val="Calibri"/>
        <family val="2"/>
      </rPr>
      <t>100</t>
    </r>
  </si>
  <si>
    <r>
      <rPr>
        <sz val="12"/>
        <color rgb="FF366092"/>
        <rFont val="Calibri"/>
        <family val="2"/>
      </rPr>
      <t>=</t>
    </r>
    <r>
      <rPr>
        <sz val="12"/>
        <color rgb="FF366092"/>
        <rFont val="Calibri"/>
        <family val="2"/>
      </rPr>
      <t>E150</t>
    </r>
    <r>
      <rPr>
        <sz val="12"/>
        <color rgb="FF366092"/>
        <rFont val="Calibri"/>
        <family val="2"/>
      </rPr>
      <t>/100</t>
    </r>
  </si>
  <si>
    <t>Total Variables</t>
  </si>
  <si>
    <r>
      <rPr>
        <sz val="12"/>
        <color rgb="FF366092"/>
        <rFont val="Calibri"/>
        <family val="2"/>
      </rPr>
      <t>=suma(</t>
    </r>
    <r>
      <rPr>
        <sz val="12"/>
        <color rgb="FF366092"/>
        <rFont val="Calibri"/>
        <family val="2"/>
      </rPr>
      <t>J143:J152)</t>
    </r>
  </si>
  <si>
    <t>Porcentaje de Variables</t>
  </si>
  <si>
    <t>Total de Suplementos</t>
  </si>
  <si>
    <r>
      <rPr>
        <sz val="12"/>
        <color rgb="FF366092"/>
        <rFont val="Calibri"/>
        <family val="2"/>
      </rPr>
      <t>=</t>
    </r>
    <r>
      <rPr>
        <sz val="12"/>
        <color rgb="FF366092"/>
        <rFont val="Calibri"/>
        <family val="2"/>
      </rPr>
      <t>I154/100</t>
    </r>
  </si>
  <si>
    <r>
      <rPr>
        <sz val="12"/>
        <color rgb="FF366092"/>
        <rFont val="Calibri"/>
        <family val="2"/>
      </rPr>
      <t>=</t>
    </r>
    <r>
      <rPr>
        <sz val="12"/>
        <color rgb="FF366092"/>
        <rFont val="Calibri"/>
        <family val="2"/>
      </rPr>
      <t>J154</t>
    </r>
    <r>
      <rPr>
        <sz val="12"/>
        <color rgb="FF366092"/>
        <rFont val="Calibri"/>
        <family val="2"/>
      </rPr>
      <t>/100</t>
    </r>
  </si>
  <si>
    <r>
      <rPr>
        <i/>
        <sz val="12"/>
        <color rgb="FF366092"/>
        <rFont val="Calibri"/>
        <family val="2"/>
      </rPr>
      <t>=</t>
    </r>
    <r>
      <rPr>
        <i/>
        <sz val="12"/>
        <color rgb="FF366092"/>
        <rFont val="Calibri"/>
        <family val="2"/>
      </rPr>
      <t>E153</t>
    </r>
    <r>
      <rPr>
        <i/>
        <sz val="12"/>
        <color rgb="FF366092"/>
        <rFont val="Calibri"/>
        <family val="2"/>
      </rPr>
      <t>+</t>
    </r>
    <r>
      <rPr>
        <i/>
        <sz val="12"/>
        <color rgb="FF366092"/>
        <rFont val="Calibri"/>
        <family val="2"/>
      </rPr>
      <t>J157</t>
    </r>
  </si>
  <si>
    <t>Actividad  2</t>
  </si>
  <si>
    <r>
      <rPr>
        <i/>
        <sz val="12"/>
        <color rgb="FF366092"/>
        <rFont val="Calibri"/>
        <family val="2"/>
      </rPr>
      <t>=</t>
    </r>
    <r>
      <rPr>
        <i/>
        <sz val="12"/>
        <color rgb="FF366092"/>
        <rFont val="Calibri"/>
        <family val="2"/>
      </rPr>
      <t>D153</t>
    </r>
    <r>
      <rPr>
        <i/>
        <sz val="12"/>
        <color rgb="FF366092"/>
        <rFont val="Calibri"/>
        <family val="2"/>
      </rPr>
      <t>+</t>
    </r>
    <r>
      <rPr>
        <i/>
        <sz val="12"/>
        <color rgb="FF366092"/>
        <rFont val="Calibri"/>
        <family val="2"/>
      </rPr>
      <t>I157</t>
    </r>
  </si>
  <si>
    <t>Factor de Suplementos   =</t>
  </si>
  <si>
    <t xml:space="preserve">    1    +  Total de Suplementos</t>
  </si>
  <si>
    <t>Factor Suplementos</t>
  </si>
  <si>
    <r>
      <rPr>
        <i/>
        <sz val="12"/>
        <color rgb="FF366092"/>
        <rFont val="Calibri"/>
        <family val="2"/>
      </rPr>
      <t>=1+</t>
    </r>
    <r>
      <rPr>
        <i/>
        <sz val="12"/>
        <color rgb="FF366092"/>
        <rFont val="Calibri"/>
        <family val="2"/>
      </rPr>
      <t>E159</t>
    </r>
  </si>
  <si>
    <r>
      <rPr>
        <i/>
        <sz val="12"/>
        <color rgb="FF366092"/>
        <rFont val="Calibri"/>
        <family val="2"/>
      </rPr>
      <t>=1+</t>
    </r>
    <r>
      <rPr>
        <i/>
        <sz val="12"/>
        <color rgb="FF366092"/>
        <rFont val="Calibri"/>
        <family val="2"/>
      </rPr>
      <t>E160</t>
    </r>
  </si>
  <si>
    <r>
      <rPr>
        <i/>
        <sz val="12"/>
        <color rgb="FF366092"/>
        <rFont val="Calibri"/>
        <family val="2"/>
      </rPr>
      <t>=1+</t>
    </r>
    <r>
      <rPr>
        <i/>
        <sz val="12"/>
        <color rgb="FF366092"/>
        <rFont val="Calibri"/>
        <family val="2"/>
      </rPr>
      <t>E161</t>
    </r>
  </si>
  <si>
    <t>Paso 8</t>
  </si>
  <si>
    <t>Calcular el Tiempo Estándard</t>
  </si>
  <si>
    <t>Tiempo Estándard (TS)   =</t>
  </si>
  <si>
    <r>
      <rPr>
        <b/>
        <i/>
        <sz val="12"/>
        <color rgb="FF632423"/>
        <rFont val="Calibri"/>
        <family val="2"/>
      </rPr>
      <t xml:space="preserve">    Tiempo Normal (TN)   </t>
    </r>
    <r>
      <rPr>
        <b/>
        <i/>
        <sz val="12"/>
        <color rgb="FF366092"/>
        <rFont val="Calibri"/>
        <family val="2"/>
      </rPr>
      <t xml:space="preserve"> x</t>
    </r>
    <r>
      <rPr>
        <b/>
        <i/>
        <sz val="12"/>
        <color rgb="FF632423"/>
        <rFont val="Calibri"/>
        <family val="2"/>
      </rPr>
      <t xml:space="preserve">  </t>
    </r>
    <r>
      <rPr>
        <b/>
        <i/>
        <sz val="12"/>
        <color rgb="FF7F7F7F"/>
        <rFont val="Calibri"/>
        <family val="2"/>
      </rPr>
      <t xml:space="preserve"> Factor de Suplementos</t>
    </r>
  </si>
  <si>
    <t>TN (min)</t>
  </si>
  <si>
    <t>Tiempo Estándard</t>
  </si>
  <si>
    <t>%</t>
  </si>
  <si>
    <r>
      <rPr>
        <i/>
        <sz val="12"/>
        <color rgb="FF366092"/>
        <rFont val="Calibri"/>
        <family val="2"/>
      </rPr>
      <t>=</t>
    </r>
    <r>
      <rPr>
        <i/>
        <sz val="12"/>
        <color rgb="FF366092"/>
        <rFont val="Calibri"/>
        <family val="2"/>
      </rPr>
      <t>D178</t>
    </r>
    <r>
      <rPr>
        <i/>
        <sz val="12"/>
        <color rgb="FF366092"/>
        <rFont val="Calibri"/>
        <family val="2"/>
      </rPr>
      <t>*</t>
    </r>
    <r>
      <rPr>
        <i/>
        <sz val="12"/>
        <color rgb="FF366092"/>
        <rFont val="Calibri"/>
        <family val="2"/>
      </rPr>
      <t>E178</t>
    </r>
  </si>
  <si>
    <r>
      <rPr>
        <i/>
        <sz val="12"/>
        <color rgb="FF366092"/>
        <rFont val="Calibri"/>
        <family val="2"/>
      </rPr>
      <t>=</t>
    </r>
    <r>
      <rPr>
        <i/>
        <sz val="12"/>
        <color rgb="FF366092"/>
        <rFont val="Calibri"/>
        <family val="2"/>
      </rPr>
      <t>D179</t>
    </r>
    <r>
      <rPr>
        <i/>
        <sz val="12"/>
        <color rgb="FF366092"/>
        <rFont val="Calibri"/>
        <family val="2"/>
      </rPr>
      <t>*</t>
    </r>
    <r>
      <rPr>
        <i/>
        <sz val="12"/>
        <color rgb="FF366092"/>
        <rFont val="Calibri"/>
        <family val="2"/>
      </rPr>
      <t>E179</t>
    </r>
  </si>
  <si>
    <r>
      <rPr>
        <i/>
        <sz val="12"/>
        <color rgb="FF366092"/>
        <rFont val="Calibri"/>
        <family val="2"/>
      </rPr>
      <t>=</t>
    </r>
    <r>
      <rPr>
        <i/>
        <sz val="12"/>
        <color rgb="FF366092"/>
        <rFont val="Calibri"/>
        <family val="2"/>
      </rPr>
      <t>D180</t>
    </r>
    <r>
      <rPr>
        <i/>
        <sz val="12"/>
        <color rgb="FF366092"/>
        <rFont val="Calibri"/>
        <family val="2"/>
      </rPr>
      <t>*</t>
    </r>
    <r>
      <rPr>
        <i/>
        <sz val="12"/>
        <color rgb="FF366092"/>
        <rFont val="Calibri"/>
        <family val="2"/>
      </rPr>
      <t>E180</t>
    </r>
  </si>
  <si>
    <t>Tiempo Estándard del Proceso</t>
  </si>
  <si>
    <r>
      <rPr>
        <i/>
        <sz val="12"/>
        <color rgb="FF366092"/>
        <rFont val="Calibri"/>
        <family val="2"/>
      </rPr>
      <t>=</t>
    </r>
    <r>
      <rPr>
        <i/>
        <sz val="12"/>
        <color rgb="FF366092"/>
        <rFont val="Calibri"/>
        <family val="2"/>
      </rPr>
      <t>G178</t>
    </r>
    <r>
      <rPr>
        <i/>
        <sz val="12"/>
        <color rgb="FF366092"/>
        <rFont val="Calibri"/>
        <family val="2"/>
      </rPr>
      <t>+</t>
    </r>
    <r>
      <rPr>
        <i/>
        <sz val="12"/>
        <color rgb="FF366092"/>
        <rFont val="Calibri"/>
        <family val="2"/>
      </rPr>
      <t>G179</t>
    </r>
    <r>
      <rPr>
        <i/>
        <sz val="12"/>
        <color rgb="FF366092"/>
        <rFont val="Calibri"/>
        <family val="2"/>
      </rPr>
      <t>+</t>
    </r>
    <r>
      <rPr>
        <i/>
        <sz val="12"/>
        <color rgb="FF366092"/>
        <rFont val="Calibri"/>
        <family val="2"/>
      </rPr>
      <t>G180</t>
    </r>
  </si>
  <si>
    <t>El tiempo Estándard, es el que utilizarás como el Tiempo de Ciclo Total par hacer tu planeación:</t>
  </si>
  <si>
    <t>Tiempos de entrega</t>
  </si>
  <si>
    <t>Costos Estándard</t>
  </si>
  <si>
    <t>Eficiencia de producción</t>
  </si>
  <si>
    <t>Capacidad de producción</t>
  </si>
  <si>
    <t>Balanceo de Procesos</t>
  </si>
  <si>
    <t>etcétera</t>
  </si>
  <si>
    <t>Recuerda que lo puedes aplicar en cualquier actividad.</t>
  </si>
  <si>
    <r>
      <rPr>
        <i/>
        <sz val="12"/>
        <color rgb="FF366092"/>
        <rFont val="Calibri"/>
        <family val="2"/>
      </rPr>
      <t>=SUMA(</t>
    </r>
    <r>
      <rPr>
        <i/>
        <sz val="12"/>
        <color rgb="FF366092"/>
        <rFont val="Calibri"/>
        <family val="2"/>
      </rPr>
      <t>D12:D21</t>
    </r>
    <r>
      <rPr>
        <i/>
        <sz val="12"/>
        <color rgb="FF366092"/>
        <rFont val="Calibri"/>
        <family val="2"/>
      </rPr>
      <t>)/10</t>
    </r>
  </si>
  <si>
    <r>
      <rPr>
        <i/>
        <sz val="12"/>
        <color rgb="FF366092"/>
        <rFont val="Calibri"/>
        <family val="2"/>
      </rPr>
      <t>=SUMA(</t>
    </r>
    <r>
      <rPr>
        <i/>
        <sz val="12"/>
        <color rgb="FF366092"/>
        <rFont val="Calibri"/>
        <family val="2"/>
      </rPr>
      <t>G12:G21</t>
    </r>
    <r>
      <rPr>
        <i/>
        <sz val="12"/>
        <color rgb="FF366092"/>
        <rFont val="Calibri"/>
        <family val="2"/>
      </rPr>
      <t>)/10</t>
    </r>
  </si>
  <si>
    <r>
      <rPr>
        <i/>
        <sz val="12"/>
        <color rgb="FF366092"/>
        <rFont val="Calibri"/>
        <family val="2"/>
      </rPr>
      <t>=SUMA(J</t>
    </r>
    <r>
      <rPr>
        <i/>
        <sz val="12"/>
        <color rgb="FF366092"/>
        <rFont val="Calibri"/>
        <family val="2"/>
      </rPr>
      <t>12:J21</t>
    </r>
    <r>
      <rPr>
        <i/>
        <sz val="12"/>
        <color rgb="FF366092"/>
        <rFont val="Calibri"/>
        <family val="2"/>
      </rPr>
      <t>)/10</t>
    </r>
  </si>
  <si>
    <r>
      <rPr>
        <i/>
        <sz val="12"/>
        <color rgb="FF366092"/>
        <rFont val="Calibri"/>
        <family val="2"/>
      </rPr>
      <t>=PROMEDIO(</t>
    </r>
    <r>
      <rPr>
        <i/>
        <sz val="12"/>
        <color rgb="FF366092"/>
        <rFont val="Calibri"/>
        <family val="2"/>
      </rPr>
      <t>D12:D21)</t>
    </r>
  </si>
  <si>
    <r>
      <rPr>
        <i/>
        <sz val="12"/>
        <color rgb="FF366092"/>
        <rFont val="Calibri"/>
        <family val="2"/>
      </rPr>
      <t>=PROMEDIO(</t>
    </r>
    <r>
      <rPr>
        <i/>
        <sz val="12"/>
        <color rgb="FF366092"/>
        <rFont val="Calibri"/>
        <family val="2"/>
      </rPr>
      <t>G12:G21)</t>
    </r>
  </si>
  <si>
    <r>
      <rPr>
        <i/>
        <sz val="12"/>
        <color rgb="FF366092"/>
        <rFont val="Calibri"/>
        <family val="2"/>
      </rPr>
      <t>=PROMEDIO(J</t>
    </r>
    <r>
      <rPr>
        <i/>
        <sz val="12"/>
        <color rgb="FF366092"/>
        <rFont val="Calibri"/>
        <family val="2"/>
      </rPr>
      <t>12:J21)</t>
    </r>
  </si>
  <si>
    <r>
      <rPr>
        <b/>
        <sz val="12"/>
        <color rgb="FF366092"/>
        <rFont val="Calibri"/>
        <family val="2"/>
      </rPr>
      <t>RANGO</t>
    </r>
    <r>
      <rPr>
        <sz val="12"/>
        <color rgb="FF366092"/>
        <rFont val="Calibri"/>
        <family val="2"/>
      </rPr>
      <t xml:space="preserve"> </t>
    </r>
  </si>
  <si>
    <r>
      <rPr>
        <b/>
        <sz val="12"/>
        <color rgb="FF366092"/>
        <rFont val="Calibri"/>
        <family val="2"/>
      </rPr>
      <t>RANGO</t>
    </r>
    <r>
      <rPr>
        <sz val="12"/>
        <color rgb="FF366092"/>
        <rFont val="Calibri"/>
        <family val="2"/>
      </rPr>
      <t xml:space="preserve"> </t>
    </r>
  </si>
  <si>
    <r>
      <rPr>
        <b/>
        <sz val="12"/>
        <color rgb="FF366092"/>
        <rFont val="Calibri"/>
        <family val="2"/>
      </rPr>
      <t>RANGO</t>
    </r>
    <r>
      <rPr>
        <sz val="12"/>
        <color rgb="FF366092"/>
        <rFont val="Calibri"/>
        <family val="2"/>
      </rPr>
      <t xml:space="preserve"> </t>
    </r>
  </si>
  <si>
    <r>
      <rPr>
        <b/>
        <sz val="12"/>
        <color rgb="FF366092"/>
        <rFont val="Calibri"/>
        <family val="2"/>
      </rPr>
      <t xml:space="preserve">Cálculo: </t>
    </r>
    <r>
      <rPr>
        <b/>
        <u/>
        <sz val="12"/>
        <color rgb="FF366092"/>
        <rFont val="Calibri"/>
        <family val="2"/>
      </rPr>
      <t xml:space="preserve">                        Rango (R)                           
</t>
    </r>
    <r>
      <rPr>
        <b/>
        <sz val="12"/>
        <color rgb="FF366092"/>
        <rFont val="Calibri"/>
        <family val="2"/>
      </rPr>
      <t xml:space="preserve">                            Tiempo de Ciclo Individual (X)</t>
    </r>
  </si>
  <si>
    <r>
      <rPr>
        <b/>
        <sz val="12"/>
        <color rgb="FF366092"/>
        <rFont val="Calibri"/>
        <family val="2"/>
      </rPr>
      <t xml:space="preserve">Cálculo: </t>
    </r>
    <r>
      <rPr>
        <b/>
        <u/>
        <sz val="12"/>
        <color rgb="FF366092"/>
        <rFont val="Calibri"/>
        <family val="2"/>
      </rPr>
      <t xml:space="preserve">                        Rango (R)                           
</t>
    </r>
    <r>
      <rPr>
        <b/>
        <sz val="12"/>
        <color rgb="FF366092"/>
        <rFont val="Calibri"/>
        <family val="2"/>
      </rPr>
      <t xml:space="preserve">                            Tiempo de Ciclo Individual (X)</t>
    </r>
  </si>
  <si>
    <r>
      <rPr>
        <b/>
        <sz val="12"/>
        <color rgb="FF366092"/>
        <rFont val="Calibri"/>
        <family val="2"/>
      </rPr>
      <t xml:space="preserve">Cálculo: </t>
    </r>
    <r>
      <rPr>
        <b/>
        <u/>
        <sz val="12"/>
        <color rgb="FF366092"/>
        <rFont val="Calibri"/>
        <family val="2"/>
      </rPr>
      <t xml:space="preserve">                        Rango (R)                           
</t>
    </r>
    <r>
      <rPr>
        <b/>
        <sz val="12"/>
        <color rgb="FF366092"/>
        <rFont val="Calibri"/>
        <family val="2"/>
      </rPr>
      <t xml:space="preserve">                            Tiempo de Ciclo Individual (X)</t>
    </r>
  </si>
  <si>
    <r>
      <rPr>
        <sz val="12"/>
        <color rgb="FF366092"/>
        <rFont val="Calibri"/>
        <family val="2"/>
      </rPr>
      <t xml:space="preserve">Para un valor de Factor R/X </t>
    </r>
    <r>
      <rPr>
        <b/>
        <sz val="12"/>
        <color rgb="FF366092"/>
        <rFont val="Calibri"/>
        <family val="2"/>
      </rPr>
      <t>distinto</t>
    </r>
    <r>
      <rPr>
        <sz val="12"/>
        <color rgb="FF366092"/>
        <rFont val="Calibri"/>
        <family val="2"/>
      </rPr>
      <t>, realizar las lecturas indicadas en la columna adecuada de la</t>
    </r>
    <r>
      <rPr>
        <b/>
        <sz val="12"/>
        <color rgb="FF366092"/>
        <rFont val="Calibri"/>
        <family val="2"/>
      </rPr>
      <t xml:space="preserve"> tabla Maytag</t>
    </r>
    <r>
      <rPr>
        <sz val="12"/>
        <color rgb="FF366092"/>
        <rFont val="Calibri"/>
        <family val="2"/>
      </rPr>
      <t xml:space="preserve">. Si el número de lecturas solicitado en la tabla, es mayor que el número de lecturas inicial (10 lecturas), completar las lecturas faltantes y calcular nuevamente tiempos de ciclo individual y tiempo de ciclo total para trabajar en el </t>
    </r>
    <r>
      <rPr>
        <b/>
        <sz val="12"/>
        <color rgb="FF366092"/>
        <rFont val="Calibri"/>
        <family val="2"/>
      </rPr>
      <t>PASO 5</t>
    </r>
    <r>
      <rPr>
        <sz val="12"/>
        <color rgb="FF366092"/>
        <rFont val="Calibri"/>
        <family val="2"/>
      </rPr>
      <t xml:space="preserve">. Si el número de lecturas solicitado en tabla, es menor que el número de lecturas inicial (10 lecturas), quedarse con los valores de tiempo de ciclo iniciales del </t>
    </r>
    <r>
      <rPr>
        <b/>
        <sz val="12"/>
        <color rgb="FF366092"/>
        <rFont val="Calibri"/>
        <family val="2"/>
      </rPr>
      <t>PASO 2</t>
    </r>
    <r>
      <rPr>
        <sz val="12"/>
        <color rgb="FF366092"/>
        <rFont val="Calibri"/>
        <family val="2"/>
      </rPr>
      <t xml:space="preserve"> y trabajar con esos números en el </t>
    </r>
    <r>
      <rPr>
        <b/>
        <sz val="12"/>
        <color rgb="FF366092"/>
        <rFont val="Calibri"/>
        <family val="2"/>
      </rPr>
      <t>PASO 5</t>
    </r>
    <r>
      <rPr>
        <sz val="12"/>
        <color rgb="FF366092"/>
        <rFont val="Calibri"/>
        <family val="2"/>
      </rPr>
      <t>.</t>
    </r>
  </si>
  <si>
    <r>
      <rPr>
        <i/>
        <sz val="12"/>
        <color rgb="FF366092"/>
        <rFont val="Calibri"/>
        <family val="2"/>
      </rPr>
      <t>=SUMA(</t>
    </r>
    <r>
      <rPr>
        <i/>
        <sz val="12"/>
        <color rgb="FF366092"/>
        <rFont val="Calibri"/>
        <family val="2"/>
      </rPr>
      <t>D63:D64</t>
    </r>
    <r>
      <rPr>
        <i/>
        <sz val="12"/>
        <color rgb="FF366092"/>
        <rFont val="Calibri"/>
        <family val="2"/>
      </rPr>
      <t>)/2</t>
    </r>
  </si>
  <si>
    <r>
      <rPr>
        <i/>
        <sz val="12"/>
        <color rgb="FF366092"/>
        <rFont val="Calibri"/>
        <family val="2"/>
      </rPr>
      <t>=SUMA(</t>
    </r>
    <r>
      <rPr>
        <i/>
        <sz val="12"/>
        <color rgb="FF366092"/>
        <rFont val="Calibri"/>
        <family val="2"/>
      </rPr>
      <t>G63:G64</t>
    </r>
    <r>
      <rPr>
        <i/>
        <sz val="12"/>
        <color rgb="FF366092"/>
        <rFont val="Calibri"/>
        <family val="2"/>
      </rPr>
      <t>)/2</t>
    </r>
  </si>
  <si>
    <r>
      <rPr>
        <i/>
        <sz val="12"/>
        <color rgb="FF366092"/>
        <rFont val="Calibri"/>
        <family val="2"/>
      </rPr>
      <t>=SUMA(</t>
    </r>
    <r>
      <rPr>
        <i/>
        <sz val="12"/>
        <color rgb="FF366092"/>
        <rFont val="Calibri"/>
        <family val="2"/>
      </rPr>
      <t>J63:J64</t>
    </r>
    <r>
      <rPr>
        <i/>
        <sz val="12"/>
        <color rgb="FF366092"/>
        <rFont val="Calibri"/>
        <family val="2"/>
      </rPr>
      <t>)/2</t>
    </r>
  </si>
  <si>
    <r>
      <rPr>
        <i/>
        <sz val="12"/>
        <color rgb="FF366092"/>
        <rFont val="Calibri"/>
        <family val="2"/>
      </rPr>
      <t>=PROMEDIO(</t>
    </r>
    <r>
      <rPr>
        <i/>
        <sz val="12"/>
        <color rgb="FF366092"/>
        <rFont val="Calibri"/>
        <family val="2"/>
      </rPr>
      <t>D63:D64)</t>
    </r>
  </si>
  <si>
    <r>
      <rPr>
        <i/>
        <sz val="12"/>
        <color rgb="FF366092"/>
        <rFont val="Calibri"/>
        <family val="2"/>
      </rPr>
      <t>=PROMEDIO(</t>
    </r>
    <r>
      <rPr>
        <i/>
        <sz val="12"/>
        <color rgb="FF366092"/>
        <rFont val="Calibri"/>
        <family val="2"/>
      </rPr>
      <t>G63:G64)</t>
    </r>
  </si>
  <si>
    <r>
      <rPr>
        <i/>
        <sz val="12"/>
        <color rgb="FF366092"/>
        <rFont val="Calibri"/>
        <family val="2"/>
      </rPr>
      <t>=PROMEDIO(</t>
    </r>
    <r>
      <rPr>
        <i/>
        <sz val="12"/>
        <color rgb="FF366092"/>
        <rFont val="Calibri"/>
        <family val="2"/>
      </rPr>
      <t>J63:J64)</t>
    </r>
  </si>
  <si>
    <t>Para este caso específico de ejemplo, siendo mayor el número de lecturas inicial (10 lecturas), que el número solicitado en la tabla Maytag por Factor R/X, usaremos los tiempos de ciclo individuales y tiempo de ciclo total obtenidos en el PASO 2, para aprovechar esos datos que ya tenemos.</t>
  </si>
  <si>
    <t>Obtenidos en PASO 2</t>
  </si>
  <si>
    <r>
      <rPr>
        <i/>
        <sz val="10"/>
        <color rgb="FF366092"/>
        <rFont val="Calibri"/>
        <family val="2"/>
      </rPr>
      <t>=SUMA(</t>
    </r>
    <r>
      <rPr>
        <i/>
        <sz val="10"/>
        <color rgb="FF366092"/>
        <rFont val="Calibri"/>
        <family val="2"/>
      </rPr>
      <t>G78:G81)</t>
    </r>
  </si>
  <si>
    <r>
      <rPr>
        <i/>
        <sz val="10"/>
        <color rgb="FF366092"/>
        <rFont val="Calibri"/>
        <family val="2"/>
      </rPr>
      <t>=SUMA(</t>
    </r>
    <r>
      <rPr>
        <i/>
        <sz val="10"/>
        <color rgb="FF366092"/>
        <rFont val="Calibri"/>
        <family val="2"/>
      </rPr>
      <t>H78:H81)</t>
    </r>
  </si>
  <si>
    <r>
      <rPr>
        <i/>
        <sz val="10"/>
        <color rgb="FF366092"/>
        <rFont val="Calibri"/>
        <family val="2"/>
      </rPr>
      <t>=SUMA(</t>
    </r>
    <r>
      <rPr>
        <i/>
        <sz val="10"/>
        <color rgb="FF366092"/>
        <rFont val="Calibri"/>
        <family val="2"/>
      </rPr>
      <t>K78:K81)</t>
    </r>
  </si>
  <si>
    <r>
      <rPr>
        <sz val="12"/>
        <color rgb="FF366092"/>
        <rFont val="Calibri"/>
        <family val="2"/>
      </rPr>
      <t>Cálculo:  =</t>
    </r>
    <r>
      <rPr>
        <sz val="12"/>
        <color rgb="FF366092"/>
        <rFont val="Calibri"/>
        <family val="2"/>
      </rPr>
      <t>G104</t>
    </r>
    <r>
      <rPr>
        <sz val="12"/>
        <color rgb="FF366092"/>
        <rFont val="Calibri"/>
        <family val="2"/>
      </rPr>
      <t>+</t>
    </r>
    <r>
      <rPr>
        <sz val="12"/>
        <color rgb="FF366092"/>
        <rFont val="Calibri"/>
        <family val="2"/>
      </rPr>
      <t>G105</t>
    </r>
    <r>
      <rPr>
        <sz val="12"/>
        <color rgb="FF366092"/>
        <rFont val="Calibri"/>
        <family val="2"/>
      </rPr>
      <t>+</t>
    </r>
    <r>
      <rPr>
        <sz val="12"/>
        <color rgb="FF366092"/>
        <rFont val="Calibri"/>
        <family val="2"/>
      </rPr>
      <t>G106</t>
    </r>
  </si>
  <si>
    <r>
      <rPr>
        <sz val="12"/>
        <color rgb="FF366092"/>
        <rFont val="Calibri"/>
        <family val="2"/>
      </rPr>
      <t>=</t>
    </r>
    <r>
      <rPr>
        <sz val="12"/>
        <color rgb="FF366092"/>
        <rFont val="Calibri"/>
        <family val="2"/>
      </rPr>
      <t>D135</t>
    </r>
    <r>
      <rPr>
        <sz val="12"/>
        <color rgb="FF366092"/>
        <rFont val="Calibri"/>
        <family val="2"/>
      </rPr>
      <t>+</t>
    </r>
    <r>
      <rPr>
        <sz val="12"/>
        <color rgb="FF366092"/>
        <rFont val="Calibri"/>
        <family val="2"/>
      </rPr>
      <t>D136</t>
    </r>
  </si>
  <si>
    <r>
      <rPr>
        <sz val="12"/>
        <color rgb="FF366092"/>
        <rFont val="Calibri"/>
        <family val="2"/>
      </rPr>
      <t>=</t>
    </r>
    <r>
      <rPr>
        <sz val="12"/>
        <color rgb="FF366092"/>
        <rFont val="Calibri"/>
        <family val="2"/>
      </rPr>
      <t>E135</t>
    </r>
    <r>
      <rPr>
        <sz val="12"/>
        <color rgb="FF366092"/>
        <rFont val="Calibri"/>
        <family val="2"/>
      </rPr>
      <t>+</t>
    </r>
    <r>
      <rPr>
        <sz val="12"/>
        <color rgb="FF366092"/>
        <rFont val="Calibri"/>
        <family val="2"/>
      </rPr>
      <t>E136</t>
    </r>
  </si>
  <si>
    <r>
      <rPr>
        <sz val="12"/>
        <color rgb="FF366092"/>
        <rFont val="Calibri"/>
        <family val="2"/>
      </rPr>
      <t>=</t>
    </r>
    <r>
      <rPr>
        <sz val="12"/>
        <color rgb="FF366092"/>
        <rFont val="Calibri"/>
        <family val="2"/>
      </rPr>
      <t>D138</t>
    </r>
    <r>
      <rPr>
        <sz val="12"/>
        <color rgb="FF366092"/>
        <rFont val="Calibri"/>
        <family val="2"/>
      </rPr>
      <t>/100</t>
    </r>
  </si>
  <si>
    <r>
      <rPr>
        <sz val="12"/>
        <color rgb="FF366092"/>
        <rFont val="Calibri"/>
        <family val="2"/>
      </rPr>
      <t>=</t>
    </r>
    <r>
      <rPr>
        <sz val="12"/>
        <color rgb="FF366092"/>
        <rFont val="Calibri"/>
        <family val="2"/>
      </rPr>
      <t>E138</t>
    </r>
    <r>
      <rPr>
        <sz val="12"/>
        <color rgb="FF366092"/>
        <rFont val="Calibri"/>
        <family val="2"/>
      </rPr>
      <t>/100</t>
    </r>
  </si>
  <si>
    <r>
      <rPr>
        <sz val="12"/>
        <color rgb="FF366092"/>
        <rFont val="Calibri"/>
        <family val="2"/>
      </rPr>
      <t>=suma(</t>
    </r>
    <r>
      <rPr>
        <sz val="12"/>
        <color rgb="FF366092"/>
        <rFont val="Calibri"/>
        <family val="2"/>
      </rPr>
      <t>I131:I140)</t>
    </r>
  </si>
  <si>
    <r>
      <rPr>
        <sz val="12"/>
        <color rgb="FF366092"/>
        <rFont val="Calibri"/>
        <family val="2"/>
      </rPr>
      <t>=suma(</t>
    </r>
    <r>
      <rPr>
        <sz val="12"/>
        <color rgb="FF366092"/>
        <rFont val="Calibri"/>
        <family val="2"/>
      </rPr>
      <t>J131:J140)</t>
    </r>
  </si>
  <si>
    <r>
      <rPr>
        <sz val="12"/>
        <color rgb="FF366092"/>
        <rFont val="Calibri"/>
        <family val="2"/>
      </rPr>
      <t>=</t>
    </r>
    <r>
      <rPr>
        <sz val="12"/>
        <color rgb="FF366092"/>
        <rFont val="Calibri"/>
        <family val="2"/>
      </rPr>
      <t>I142/100</t>
    </r>
  </si>
  <si>
    <r>
      <rPr>
        <sz val="12"/>
        <color rgb="FF366092"/>
        <rFont val="Calibri"/>
        <family val="2"/>
      </rPr>
      <t>=</t>
    </r>
    <r>
      <rPr>
        <sz val="12"/>
        <color rgb="FF366092"/>
        <rFont val="Calibri"/>
        <family val="2"/>
      </rPr>
      <t>J142</t>
    </r>
    <r>
      <rPr>
        <sz val="12"/>
        <color rgb="FF366092"/>
        <rFont val="Calibri"/>
        <family val="2"/>
      </rPr>
      <t>/100</t>
    </r>
  </si>
  <si>
    <r>
      <rPr>
        <i/>
        <sz val="12"/>
        <color rgb="FF366092"/>
        <rFont val="Calibri"/>
        <family val="2"/>
      </rPr>
      <t>=</t>
    </r>
    <r>
      <rPr>
        <i/>
        <sz val="12"/>
        <color rgb="FF366092"/>
        <rFont val="Calibri"/>
        <family val="2"/>
      </rPr>
      <t>E141</t>
    </r>
    <r>
      <rPr>
        <i/>
        <sz val="12"/>
        <color rgb="FF366092"/>
        <rFont val="Calibri"/>
        <family val="2"/>
      </rPr>
      <t>+</t>
    </r>
    <r>
      <rPr>
        <i/>
        <sz val="12"/>
        <color rgb="FF366092"/>
        <rFont val="Calibri"/>
        <family val="2"/>
      </rPr>
      <t>J145</t>
    </r>
  </si>
  <si>
    <r>
      <rPr>
        <i/>
        <sz val="12"/>
        <color rgb="FF366092"/>
        <rFont val="Calibri"/>
        <family val="2"/>
      </rPr>
      <t>=</t>
    </r>
    <r>
      <rPr>
        <i/>
        <sz val="12"/>
        <color rgb="FF366092"/>
        <rFont val="Calibri"/>
        <family val="2"/>
      </rPr>
      <t>D141</t>
    </r>
    <r>
      <rPr>
        <i/>
        <sz val="12"/>
        <color rgb="FF366092"/>
        <rFont val="Calibri"/>
        <family val="2"/>
      </rPr>
      <t>+</t>
    </r>
    <r>
      <rPr>
        <i/>
        <sz val="12"/>
        <color rgb="FF366092"/>
        <rFont val="Calibri"/>
        <family val="2"/>
      </rPr>
      <t>I145</t>
    </r>
  </si>
  <si>
    <r>
      <rPr>
        <i/>
        <sz val="12"/>
        <color rgb="FF366092"/>
        <rFont val="Calibri"/>
        <family val="2"/>
      </rPr>
      <t>=</t>
    </r>
    <r>
      <rPr>
        <i/>
        <sz val="12"/>
        <color rgb="FF366092"/>
        <rFont val="Calibri"/>
        <family val="2"/>
      </rPr>
      <t>E141</t>
    </r>
    <r>
      <rPr>
        <i/>
        <sz val="12"/>
        <color rgb="FF366092"/>
        <rFont val="Calibri"/>
        <family val="2"/>
      </rPr>
      <t>+</t>
    </r>
    <r>
      <rPr>
        <i/>
        <sz val="12"/>
        <color rgb="FF366092"/>
        <rFont val="Calibri"/>
        <family val="2"/>
      </rPr>
      <t>J145</t>
    </r>
  </si>
  <si>
    <r>
      <rPr>
        <i/>
        <sz val="12"/>
        <color rgb="FF366092"/>
        <rFont val="Calibri"/>
        <family val="2"/>
      </rPr>
      <t>=1+</t>
    </r>
    <r>
      <rPr>
        <i/>
        <sz val="12"/>
        <color rgb="FF366092"/>
        <rFont val="Calibri"/>
        <family val="2"/>
      </rPr>
      <t>E147</t>
    </r>
  </si>
  <si>
    <r>
      <rPr>
        <i/>
        <sz val="12"/>
        <color rgb="FF366092"/>
        <rFont val="Calibri"/>
        <family val="2"/>
      </rPr>
      <t>=1+</t>
    </r>
    <r>
      <rPr>
        <i/>
        <sz val="12"/>
        <color rgb="FF366092"/>
        <rFont val="Calibri"/>
        <family val="2"/>
      </rPr>
      <t>E148</t>
    </r>
  </si>
  <si>
    <r>
      <rPr>
        <i/>
        <sz val="12"/>
        <color rgb="FF366092"/>
        <rFont val="Calibri"/>
        <family val="2"/>
      </rPr>
      <t>=1+</t>
    </r>
    <r>
      <rPr>
        <i/>
        <sz val="12"/>
        <color rgb="FF366092"/>
        <rFont val="Calibri"/>
        <family val="2"/>
      </rPr>
      <t>E149</t>
    </r>
  </si>
  <si>
    <r>
      <rPr>
        <b/>
        <i/>
        <sz val="12"/>
        <color rgb="FF632423"/>
        <rFont val="Calibri"/>
        <family val="2"/>
      </rPr>
      <t xml:space="preserve">    Tiempo Normal (TN)   </t>
    </r>
    <r>
      <rPr>
        <b/>
        <i/>
        <sz val="12"/>
        <color rgb="FF366092"/>
        <rFont val="Calibri"/>
        <family val="2"/>
      </rPr>
      <t xml:space="preserve"> x</t>
    </r>
    <r>
      <rPr>
        <b/>
        <i/>
        <sz val="12"/>
        <color rgb="FF632423"/>
        <rFont val="Calibri"/>
        <family val="2"/>
      </rPr>
      <t xml:space="preserve">  </t>
    </r>
    <r>
      <rPr>
        <b/>
        <i/>
        <sz val="12"/>
        <color rgb="FF7F7F7F"/>
        <rFont val="Calibri"/>
        <family val="2"/>
      </rPr>
      <t xml:space="preserve"> Factor de Suplementos</t>
    </r>
  </si>
  <si>
    <r>
      <rPr>
        <i/>
        <sz val="12"/>
        <color rgb="FF366092"/>
        <rFont val="Calibri"/>
        <family val="2"/>
      </rPr>
      <t>=</t>
    </r>
    <r>
      <rPr>
        <i/>
        <sz val="12"/>
        <color rgb="FF366092"/>
        <rFont val="Calibri"/>
        <family val="2"/>
      </rPr>
      <t>D166</t>
    </r>
    <r>
      <rPr>
        <i/>
        <sz val="12"/>
        <color rgb="FF366092"/>
        <rFont val="Calibri"/>
        <family val="2"/>
      </rPr>
      <t>*</t>
    </r>
    <r>
      <rPr>
        <i/>
        <sz val="12"/>
        <color rgb="FF366092"/>
        <rFont val="Calibri"/>
        <family val="2"/>
      </rPr>
      <t>E166</t>
    </r>
  </si>
  <si>
    <r>
      <rPr>
        <i/>
        <sz val="12"/>
        <color rgb="FF366092"/>
        <rFont val="Calibri"/>
        <family val="2"/>
      </rPr>
      <t>=</t>
    </r>
    <r>
      <rPr>
        <i/>
        <sz val="12"/>
        <color rgb="FF366092"/>
        <rFont val="Calibri"/>
        <family val="2"/>
      </rPr>
      <t>D167</t>
    </r>
    <r>
      <rPr>
        <i/>
        <sz val="12"/>
        <color rgb="FF366092"/>
        <rFont val="Calibri"/>
        <family val="2"/>
      </rPr>
      <t>*</t>
    </r>
    <r>
      <rPr>
        <i/>
        <sz val="12"/>
        <color rgb="FF366092"/>
        <rFont val="Calibri"/>
        <family val="2"/>
      </rPr>
      <t>E167</t>
    </r>
  </si>
  <si>
    <r>
      <rPr>
        <i/>
        <sz val="12"/>
        <color rgb="FF366092"/>
        <rFont val="Calibri"/>
        <family val="2"/>
      </rPr>
      <t>=</t>
    </r>
    <r>
      <rPr>
        <i/>
        <sz val="12"/>
        <color rgb="FF366092"/>
        <rFont val="Calibri"/>
        <family val="2"/>
      </rPr>
      <t>D168</t>
    </r>
    <r>
      <rPr>
        <i/>
        <sz val="12"/>
        <color rgb="FF366092"/>
        <rFont val="Calibri"/>
        <family val="2"/>
      </rPr>
      <t>*</t>
    </r>
    <r>
      <rPr>
        <i/>
        <sz val="12"/>
        <color rgb="FF366092"/>
        <rFont val="Calibri"/>
        <family val="2"/>
      </rPr>
      <t>E168</t>
    </r>
  </si>
  <si>
    <r>
      <rPr>
        <i/>
        <sz val="12"/>
        <color rgb="FF366092"/>
        <rFont val="Calibri"/>
        <family val="2"/>
      </rPr>
      <t>=</t>
    </r>
    <r>
      <rPr>
        <i/>
        <sz val="12"/>
        <color rgb="FF366092"/>
        <rFont val="Calibri"/>
        <family val="2"/>
      </rPr>
      <t>G166</t>
    </r>
    <r>
      <rPr>
        <i/>
        <sz val="12"/>
        <color rgb="FF366092"/>
        <rFont val="Calibri"/>
        <family val="2"/>
      </rPr>
      <t>+</t>
    </r>
    <r>
      <rPr>
        <i/>
        <sz val="12"/>
        <color rgb="FF366092"/>
        <rFont val="Calibri"/>
        <family val="2"/>
      </rPr>
      <t>G167</t>
    </r>
    <r>
      <rPr>
        <i/>
        <sz val="12"/>
        <color rgb="FF366092"/>
        <rFont val="Calibri"/>
        <family val="2"/>
      </rPr>
      <t>+</t>
    </r>
    <r>
      <rPr>
        <i/>
        <sz val="12"/>
        <color rgb="FF366092"/>
        <rFont val="Calibri"/>
        <family val="2"/>
      </rPr>
      <t>G168</t>
    </r>
  </si>
  <si>
    <t>=D147+D148</t>
  </si>
  <si>
    <t>=SUMA(D12:D21)/10</t>
  </si>
  <si>
    <t>=SUMA(J12:J21)/10</t>
  </si>
  <si>
    <t>=PROMEDIO(J12:J21)</t>
  </si>
  <si>
    <t>=PROMEDIO(G12:G21)</t>
  </si>
  <si>
    <t>=PROMEDIO(D12:D21)</t>
  </si>
  <si>
    <t>=SUMA(D63:D72)/10</t>
  </si>
  <si>
    <t>=PROMEDIO(D63:D72)</t>
  </si>
  <si>
    <t>=PROMEDIO(G63:G72)</t>
  </si>
  <si>
    <t>=SUMA(J63:J72)/10</t>
  </si>
  <si>
    <t>=PROMEDIO(J63:J72)</t>
  </si>
  <si>
    <t>se toman 10 lecturas para  las actividades 1 y 3.</t>
  </si>
  <si>
    <t>se toman 5 lecturas para  las actividades 2.</t>
  </si>
  <si>
    <t>=SUMA(G63:G72)/5</t>
  </si>
  <si>
    <t>=SUMA(I95:I98)</t>
  </si>
  <si>
    <t>=SUMA(G12:G21)/5</t>
  </si>
  <si>
    <r>
      <rPr>
        <sz val="12"/>
        <color rgb="FF366092"/>
        <rFont val="Calibri"/>
        <family val="2"/>
      </rPr>
      <t>=</t>
    </r>
    <r>
      <rPr>
        <sz val="12"/>
        <color rgb="FF366092"/>
        <rFont val="Calibri"/>
        <family val="2"/>
      </rPr>
      <t>E147</t>
    </r>
    <r>
      <rPr>
        <sz val="12"/>
        <color rgb="FF366092"/>
        <rFont val="Calibri"/>
        <family val="2"/>
      </rPr>
      <t>+</t>
    </r>
    <r>
      <rPr>
        <sz val="12"/>
        <color rgb="FF366092"/>
        <rFont val="Calibri"/>
        <family val="2"/>
      </rPr>
      <t>E149</t>
    </r>
    <r>
      <rPr>
        <sz val="11"/>
        <color theme="1"/>
        <rFont val="Calibri"/>
        <family val="2"/>
        <scheme val="minor"/>
      </rPr>
      <t/>
    </r>
  </si>
  <si>
    <r>
      <rPr>
        <sz val="12"/>
        <color rgb="FF366092"/>
        <rFont val="Calibri"/>
        <family val="2"/>
      </rPr>
      <t>=</t>
    </r>
    <r>
      <rPr>
        <sz val="12"/>
        <color rgb="FF366092"/>
        <rFont val="Calibri"/>
        <family val="2"/>
      </rPr>
      <t>E150</t>
    </r>
    <r>
      <rPr>
        <sz val="12"/>
        <color rgb="FF366092"/>
        <rFont val="Calibri"/>
        <family val="2"/>
      </rPr>
      <t>/101</t>
    </r>
    <r>
      <rPr>
        <sz val="11"/>
        <color theme="1"/>
        <rFont val="Calibri"/>
        <family val="2"/>
        <scheme val="minor"/>
      </rPr>
      <t/>
    </r>
  </si>
  <si>
    <t>=suma(I143:I152)</t>
  </si>
  <si>
    <r>
      <rPr>
        <sz val="12"/>
        <color rgb="FF366092"/>
        <rFont val="Calibri"/>
        <family val="2"/>
      </rPr>
      <t>=</t>
    </r>
    <r>
      <rPr>
        <sz val="12"/>
        <color rgb="FF366092"/>
        <rFont val="Calibri"/>
        <family val="2"/>
      </rPr>
      <t>J154</t>
    </r>
    <r>
      <rPr>
        <sz val="12"/>
        <color rgb="FF366092"/>
        <rFont val="Calibri"/>
        <family val="2"/>
      </rPr>
      <t>/101</t>
    </r>
    <r>
      <rPr>
        <sz val="11"/>
        <color theme="1"/>
        <rFont val="Calibri"/>
        <family val="2"/>
        <scheme val="minor"/>
      </rPr>
      <t/>
    </r>
  </si>
  <si>
    <t>=F153+K157</t>
  </si>
  <si>
    <t>Mujer 1</t>
  </si>
  <si>
    <t>Mujer 2</t>
  </si>
  <si>
    <t>respuestas</t>
  </si>
  <si>
    <t>A. Cálculo del Tiempo Estándar por actividad</t>
  </si>
  <si>
    <t>B. Tiempo Estándar Total del proceso:</t>
  </si>
  <si>
    <t xml:space="preserve">C. Aplicación a la ingeniería de procesos (análisis final): </t>
  </si>
  <si>
    <t>ACTIVIDAD 1</t>
  </si>
  <si>
    <t>ACTIVIDAD 2</t>
  </si>
  <si>
    <t>ACTIVIDAD 3</t>
  </si>
  <si>
    <t xml:space="preserve">Tasa de producción horaria: </t>
  </si>
  <si>
    <t>Capacidad por turno:</t>
  </si>
  <si>
    <t>La producción estándar esperada es de 72 válvulas completas por turno.</t>
  </si>
  <si>
    <t>válvulas/turno</t>
  </si>
  <si>
    <t>válvulas/hora</t>
  </si>
  <si>
    <r>
      <t>En una hora de trabajo bajo condiciones estándar , la celda es capaz de producir aproximadamente 9</t>
    </r>
    <r>
      <rPr>
        <b/>
        <sz val="12"/>
        <rFont val="Calibri"/>
        <family val="2"/>
        <scheme val="minor"/>
      </rPr>
      <t xml:space="preserve"> </t>
    </r>
    <r>
      <rPr>
        <sz val="12"/>
        <rFont val="Calibri"/>
        <family val="2"/>
        <scheme val="minor"/>
      </rPr>
      <t>unidades.</t>
    </r>
  </si>
  <si>
    <t>El cuello de botella es la Actividad 3. Aunque la Actividad 2 tiene un tiempo normal ligeramente mayor antes de suplementos, la Actividad 3 termina siendo la más lenta debido a que tiene el factor de suplementos más alto porque la operario es mujer y es una operación compleja. Como es la actividad con el mayor tiempo estándar, es la que dicta el Takt Time de toda la celda.</t>
  </si>
  <si>
    <t xml:space="preserve"> ¿Qué estrategia de Lean Manufacturing propondrías para mejorar el flujo de esta celda?</t>
  </si>
  <si>
    <t>Pregunta de cierre: Observando los Tiempos Estándar individuales de cada actividad ¿identificas algún "cuello de botella" evidente 
en el proceso?</t>
  </si>
  <si>
    <t>Para optimizar el proceso con la estrategia Lean, se propone  eliminar el Mura (desequilibrio) causado por la brecha de tiempos entre la Actividad 1 y la 3, lo cual genera Muda por el desperdicio de espera en las estaciones más rápidas y Muri  en la actividad crítica. Otra estrategia es la Estandarización del Trabajo, implementando ayudas visuales o en la Actividad 3 para que su ejecución no dependa de la habilidad individual del operario , reduciendo así la variabilidad detectada en la valoración Westinghouse. Así mismo, se debe realizar una Reducción de Suplementos mediante ergonomía participativa, pues el elevado factor en la Actividad 3 sugiere una oportunidad de mejora en la iluminación o diseño del puesto; al mitigar la fatiga y la tensión visual, se reduce directamente el Tiempo Estándar sin aumentar la intensidad del trabajo físico.</t>
  </si>
  <si>
    <t>NOMBRES</t>
  </si>
  <si>
    <t>David Castelblanco y Laura Cespedes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</si>
</sst>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71" formatCode="0.0000"/>
  </numFmts>
  <fonts count="19" x14ac:knownFonts="1">
    <font>
      <sz val="12"/>
      <name val="Calibri"/>
      <scheme val="minor"/>
    </font>
    <font>
      <sz val="11"/>
      <color theme="1"/>
      <name val="Calibri"/>
      <family val="2"/>
      <scheme val="minor"/>
    </font>
    <font>
      <b/>
      <sz val="18"/>
      <name val="Calibri"/>
      <family val="2"/>
    </font>
    <font>
      <sz val="12"/>
      <name val="Calibri"/>
      <family val="2"/>
    </font>
    <font>
      <sz val="12"/>
      <color rgb="FF366092"/>
      <name val="Calibri"/>
      <family val="2"/>
    </font>
    <font>
      <b/>
      <sz val="12"/>
      <name val="Calibri"/>
      <family val="2"/>
    </font>
    <font>
      <b/>
      <sz val="12"/>
      <color rgb="FF366092"/>
      <name val="Calibri"/>
      <family val="2"/>
    </font>
    <font>
      <i/>
      <sz val="12"/>
      <color rgb="FF366092"/>
      <name val="Calibri"/>
      <family val="2"/>
    </font>
    <font>
      <b/>
      <i/>
      <sz val="12"/>
      <color rgb="FF366092"/>
      <name val="Calibri"/>
      <family val="2"/>
    </font>
    <font>
      <b/>
      <i/>
      <sz val="12"/>
      <name val="Calibri"/>
      <family val="2"/>
    </font>
    <font>
      <sz val="12"/>
      <name val="Calibri"/>
      <family val="2"/>
    </font>
    <font>
      <i/>
      <sz val="10"/>
      <color rgb="FF366092"/>
      <name val="Calibri"/>
      <family val="2"/>
    </font>
    <font>
      <b/>
      <sz val="12"/>
      <color rgb="FF632423"/>
      <name val="Calibri"/>
      <family val="2"/>
    </font>
    <font>
      <b/>
      <i/>
      <sz val="12"/>
      <color rgb="FF632423"/>
      <name val="Calibri"/>
      <family val="2"/>
    </font>
    <font>
      <b/>
      <i/>
      <sz val="12"/>
      <color rgb="FF7F7F7F"/>
      <name val="Calibri"/>
      <family val="2"/>
    </font>
    <font>
      <b/>
      <u/>
      <sz val="12"/>
      <color rgb="FF366092"/>
      <name val="Calibri"/>
      <family val="2"/>
    </font>
    <font>
      <sz val="12"/>
      <name val="Calibri"/>
      <family val="2"/>
      <scheme val="minor"/>
    </font>
    <font>
      <sz val="8"/>
      <name val="Calibri"/>
      <family val="2"/>
      <scheme val="minor"/>
    </font>
    <font>
      <b/>
      <sz val="12"/>
      <name val="Calibri"/>
      <family val="2"/>
      <scheme val="minor"/>
    </font>
  </fonts>
  <fills count="15">
    <fill>
      <patternFill patternType="none"/>
    </fill>
    <fill>
      <patternFill patternType="gray125"/>
    </fill>
    <fill>
      <patternFill patternType="solid">
        <fgColor rgb="FF366092"/>
        <bgColor rgb="FF366092"/>
      </patternFill>
    </fill>
    <fill>
      <patternFill patternType="solid">
        <fgColor rgb="FFB8CCE4"/>
        <bgColor rgb="FFB8CCE4"/>
      </patternFill>
    </fill>
    <fill>
      <patternFill patternType="solid">
        <fgColor rgb="FFFABF8F"/>
        <bgColor rgb="FFFABF8F"/>
      </patternFill>
    </fill>
    <fill>
      <patternFill patternType="solid">
        <fgColor rgb="FFC2D69B"/>
        <bgColor rgb="FFC2D69B"/>
      </patternFill>
    </fill>
    <fill>
      <patternFill patternType="solid">
        <fgColor rgb="FFB2A1C7"/>
        <bgColor rgb="FFB2A1C7"/>
      </patternFill>
    </fill>
    <fill>
      <patternFill patternType="solid">
        <fgColor rgb="FFE36C09"/>
        <bgColor rgb="FFE36C09"/>
      </patternFill>
    </fill>
    <fill>
      <patternFill patternType="solid">
        <fgColor rgb="FFFFFF00"/>
        <bgColor rgb="FFFFFF00"/>
      </patternFill>
    </fill>
    <fill>
      <patternFill patternType="solid">
        <fgColor rgb="FF95B3D7"/>
        <bgColor rgb="FF95B3D7"/>
      </patternFill>
    </fill>
    <fill>
      <patternFill patternType="solid">
        <fgColor rgb="FF92CDDC"/>
        <bgColor rgb="FF92CDDC"/>
      </patternFill>
    </fill>
    <fill>
      <patternFill patternType="solid">
        <fgColor rgb="FF632423"/>
        <bgColor rgb="FF632423"/>
      </patternFill>
    </fill>
    <fill>
      <patternFill patternType="solid">
        <fgColor rgb="FFBFBFBF"/>
        <bgColor rgb="FFBFBFBF"/>
      </patternFill>
    </fill>
    <fill>
      <patternFill patternType="solid">
        <fgColor rgb="FFA5A5A5"/>
        <bgColor rgb="FFA5A5A5"/>
      </patternFill>
    </fill>
    <fill>
      <patternFill patternType="solid">
        <fgColor rgb="FFFFFF00"/>
        <bgColor indexed="64"/>
      </patternFill>
    </fill>
  </fills>
  <borders count="62">
    <border>
      <left/>
      <right/>
      <top/>
      <bottom/>
      <diagonal/>
    </border>
    <border>
      <left/>
      <right/>
      <top/>
      <bottom/>
      <diagonal/>
    </border>
    <border>
      <left/>
      <right/>
      <top/>
      <bottom/>
      <diagonal/>
    </border>
    <border>
      <left/>
      <right/>
      <top/>
      <bottom/>
      <diagonal/>
    </border>
    <border>
      <left/>
      <right/>
      <top/>
      <bottom/>
      <diagonal/>
    </border>
    <border>
      <left style="medium">
        <color rgb="FF366092"/>
      </left>
      <right/>
      <top style="medium">
        <color rgb="FF366092"/>
      </top>
      <bottom style="medium">
        <color rgb="FF366092"/>
      </bottom>
      <diagonal/>
    </border>
    <border>
      <left/>
      <right/>
      <top style="medium">
        <color rgb="FF366092"/>
      </top>
      <bottom style="medium">
        <color rgb="FF366092"/>
      </bottom>
      <diagonal/>
    </border>
    <border>
      <left/>
      <right style="medium">
        <color rgb="FF366092"/>
      </right>
      <top style="medium">
        <color rgb="FF366092"/>
      </top>
      <bottom style="medium">
        <color rgb="FF366092"/>
      </bottom>
      <diagonal/>
    </border>
    <border>
      <left style="medium">
        <color rgb="FF366092"/>
      </left>
      <right/>
      <top style="medium">
        <color rgb="FF366092"/>
      </top>
      <bottom/>
      <diagonal/>
    </border>
    <border>
      <left/>
      <right/>
      <top style="medium">
        <color rgb="FF366092"/>
      </top>
      <bottom/>
      <diagonal/>
    </border>
    <border>
      <left/>
      <right style="medium">
        <color rgb="FF366092"/>
      </right>
      <top style="medium">
        <color rgb="FF366092"/>
      </top>
      <bottom/>
      <diagonal/>
    </border>
    <border>
      <left style="medium">
        <color rgb="FF366092"/>
      </left>
      <right/>
      <top/>
      <bottom/>
      <diagonal/>
    </border>
    <border>
      <left/>
      <right style="medium">
        <color rgb="FF366092"/>
      </right>
      <top/>
      <bottom/>
      <diagonal/>
    </border>
    <border>
      <left style="medium">
        <color rgb="FF366092"/>
      </left>
      <right/>
      <top/>
      <bottom style="medium">
        <color rgb="FF366092"/>
      </bottom>
      <diagonal/>
    </border>
    <border>
      <left/>
      <right/>
      <top/>
      <bottom style="medium">
        <color rgb="FF366092"/>
      </bottom>
      <diagonal/>
    </border>
    <border>
      <left/>
      <right style="medium">
        <color rgb="FF366092"/>
      </right>
      <top/>
      <bottom style="medium">
        <color rgb="FF366092"/>
      </bottom>
      <diagonal/>
    </border>
    <border>
      <left style="medium">
        <color rgb="FF366092"/>
      </left>
      <right/>
      <top style="medium">
        <color rgb="FF366092"/>
      </top>
      <bottom/>
      <diagonal/>
    </border>
    <border>
      <left/>
      <right/>
      <top style="medium">
        <color rgb="FF366092"/>
      </top>
      <bottom/>
      <diagonal/>
    </border>
    <border>
      <left/>
      <right style="medium">
        <color rgb="FF366092"/>
      </right>
      <top style="medium">
        <color rgb="FF366092"/>
      </top>
      <bottom/>
      <diagonal/>
    </border>
    <border>
      <left style="medium">
        <color rgb="FF366092"/>
      </left>
      <right/>
      <top/>
      <bottom/>
      <diagonal/>
    </border>
    <border>
      <left/>
      <right style="medium">
        <color rgb="FF366092"/>
      </right>
      <top/>
      <bottom/>
      <diagonal/>
    </border>
    <border>
      <left/>
      <right/>
      <top style="medium">
        <color rgb="FF366092"/>
      </top>
      <bottom/>
      <diagonal/>
    </border>
    <border>
      <left/>
      <right/>
      <top/>
      <bottom style="medium">
        <color rgb="FF366092"/>
      </bottom>
      <diagonal/>
    </border>
    <border>
      <left style="medium">
        <color rgb="FFFABF8F"/>
      </left>
      <right/>
      <top style="medium">
        <color rgb="FFFABF8F"/>
      </top>
      <bottom style="medium">
        <color rgb="FFFABF8F"/>
      </bottom>
      <diagonal/>
    </border>
    <border>
      <left/>
      <right/>
      <top style="medium">
        <color rgb="FFFABF8F"/>
      </top>
      <bottom style="medium">
        <color rgb="FFFABF8F"/>
      </bottom>
      <diagonal/>
    </border>
    <border>
      <left/>
      <right style="medium">
        <color rgb="FFFABF8F"/>
      </right>
      <top style="medium">
        <color rgb="FFFABF8F"/>
      </top>
      <bottom style="medium">
        <color rgb="FFFABF8F"/>
      </bottom>
      <diagonal/>
    </border>
    <border>
      <left style="medium">
        <color rgb="FF366092"/>
      </left>
      <right/>
      <top style="medium">
        <color rgb="FF366092"/>
      </top>
      <bottom/>
      <diagonal/>
    </border>
    <border>
      <left/>
      <right/>
      <top style="medium">
        <color rgb="FF366092"/>
      </top>
      <bottom/>
      <diagonal/>
    </border>
    <border>
      <left/>
      <right style="medium">
        <color rgb="FF366092"/>
      </right>
      <top style="medium">
        <color rgb="FF366092"/>
      </top>
      <bottom/>
      <diagonal/>
    </border>
    <border>
      <left/>
      <right/>
      <top/>
      <bottom style="medium">
        <color rgb="FF366092"/>
      </bottom>
      <diagonal/>
    </border>
    <border>
      <left/>
      <right style="medium">
        <color rgb="FF366092"/>
      </right>
      <top/>
      <bottom style="medium">
        <color rgb="FF366092"/>
      </bottom>
      <diagonal/>
    </border>
    <border>
      <left style="medium">
        <color rgb="FFE36C09"/>
      </left>
      <right/>
      <top style="medium">
        <color rgb="FFE36C09"/>
      </top>
      <bottom/>
      <diagonal/>
    </border>
    <border>
      <left/>
      <right/>
      <top style="medium">
        <color rgb="FFE36C09"/>
      </top>
      <bottom/>
      <diagonal/>
    </border>
    <border>
      <left/>
      <right style="medium">
        <color rgb="FFE36C09"/>
      </right>
      <top style="medium">
        <color rgb="FFE36C09"/>
      </top>
      <bottom/>
      <diagonal/>
    </border>
    <border>
      <left style="medium">
        <color rgb="FFE36C09"/>
      </left>
      <right/>
      <top/>
      <bottom/>
      <diagonal/>
    </border>
    <border>
      <left/>
      <right style="medium">
        <color rgb="FFE36C09"/>
      </right>
      <top/>
      <bottom/>
      <diagonal/>
    </border>
    <border>
      <left style="medium">
        <color rgb="FFE36C09"/>
      </left>
      <right/>
      <top/>
      <bottom style="medium">
        <color rgb="FFE36C09"/>
      </bottom>
      <diagonal/>
    </border>
    <border>
      <left/>
      <right/>
      <top/>
      <bottom style="medium">
        <color rgb="FFE36C09"/>
      </bottom>
      <diagonal/>
    </border>
    <border>
      <left/>
      <right style="medium">
        <color rgb="FFE36C09"/>
      </right>
      <top/>
      <bottom style="medium">
        <color rgb="FFE36C09"/>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top style="medium">
        <color rgb="FF7F7F7F"/>
      </top>
      <bottom/>
      <diagonal/>
    </border>
    <border>
      <left/>
      <right/>
      <top style="medium">
        <color rgb="FF7F7F7F"/>
      </top>
      <bottom/>
      <diagonal/>
    </border>
    <border>
      <left/>
      <right/>
      <top style="medium">
        <color rgb="FF7F7F7F"/>
      </top>
      <bottom/>
      <diagonal/>
    </border>
    <border>
      <left/>
      <right style="medium">
        <color rgb="FF7F7F7F"/>
      </right>
      <top style="medium">
        <color rgb="FF7F7F7F"/>
      </top>
      <bottom/>
      <diagonal/>
    </border>
    <border>
      <left style="medium">
        <color rgb="FF7F7F7F"/>
      </left>
      <right/>
      <top/>
      <bottom/>
      <diagonal/>
    </border>
    <border>
      <left/>
      <right style="medium">
        <color rgb="FF7F7F7F"/>
      </right>
      <top/>
      <bottom/>
      <diagonal/>
    </border>
    <border>
      <left style="medium">
        <color rgb="FF7F7F7F"/>
      </left>
      <right/>
      <top/>
      <bottom style="medium">
        <color rgb="FF7F7F7F"/>
      </bottom>
      <diagonal/>
    </border>
    <border>
      <left/>
      <right/>
      <top/>
      <bottom style="medium">
        <color rgb="FF7F7F7F"/>
      </bottom>
      <diagonal/>
    </border>
    <border>
      <left/>
      <right style="medium">
        <color rgb="FF7F7F7F"/>
      </right>
      <top/>
      <bottom style="medium">
        <color rgb="FF7F7F7F"/>
      </bottom>
      <diagonal/>
    </border>
    <border>
      <left style="medium">
        <color rgb="FF366092"/>
      </left>
      <right style="medium">
        <color rgb="FF366092"/>
      </right>
      <top style="medium">
        <color rgb="FF366092"/>
      </top>
      <bottom/>
      <diagonal/>
    </border>
    <border>
      <left style="medium">
        <color rgb="FF366092"/>
      </left>
      <right/>
      <top style="dotted">
        <color rgb="FF366092"/>
      </top>
      <bottom style="dotted">
        <color rgb="FF366092"/>
      </bottom>
      <diagonal/>
    </border>
    <border>
      <left/>
      <right/>
      <top style="dotted">
        <color rgb="FF366092"/>
      </top>
      <bottom style="dotted">
        <color rgb="FF366092"/>
      </bottom>
      <diagonal/>
    </border>
    <border>
      <left/>
      <right style="medium">
        <color rgb="FF366092"/>
      </right>
      <top style="dotted">
        <color rgb="FF366092"/>
      </top>
      <bottom style="dotted">
        <color rgb="FF366092"/>
      </bottom>
      <diagonal/>
    </border>
    <border>
      <left style="medium">
        <color rgb="FF366092"/>
      </left>
      <right/>
      <top/>
      <bottom style="medium">
        <color rgb="FF36609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209">
    <xf numFmtId="0" fontId="0" fillId="0" borderId="0" xfId="0"/>
    <xf numFmtId="0" fontId="4" fillId="0" borderId="0" xfId="0" applyFont="1" applyAlignment="1">
      <alignment vertical="center"/>
    </xf>
    <xf numFmtId="0" fontId="4" fillId="0" borderId="0" xfId="0" applyFont="1" applyAlignment="1">
      <alignment horizontal="left" vertical="center"/>
    </xf>
    <xf numFmtId="0" fontId="5" fillId="2" borderId="4" xfId="0" applyFont="1" applyFill="1" applyBorder="1" applyAlignment="1">
      <alignment vertical="center"/>
    </xf>
    <xf numFmtId="0" fontId="6" fillId="0" borderId="0" xfId="0" applyFont="1" applyAlignment="1">
      <alignment horizontal="left" vertical="center"/>
    </xf>
    <xf numFmtId="0" fontId="4" fillId="0" borderId="0" xfId="0" applyFont="1" applyAlignment="1">
      <alignment horizontal="right" vertical="center"/>
    </xf>
    <xf numFmtId="0" fontId="6" fillId="0" borderId="8" xfId="0" applyFont="1" applyBorder="1" applyAlignment="1">
      <alignment horizontal="center" vertical="center"/>
    </xf>
    <xf numFmtId="0" fontId="4" fillId="0" borderId="11" xfId="0" applyFont="1" applyBorder="1" applyAlignment="1">
      <alignment horizontal="center" vertical="center"/>
    </xf>
    <xf numFmtId="164" fontId="4" fillId="0" borderId="0" xfId="0" applyNumberFormat="1" applyFont="1" applyAlignment="1">
      <alignment vertical="center"/>
    </xf>
    <xf numFmtId="0" fontId="4" fillId="0" borderId="12" xfId="0" applyFont="1" applyBorder="1" applyAlignment="1">
      <alignment vertical="center"/>
    </xf>
    <xf numFmtId="0" fontId="4" fillId="0" borderId="13" xfId="0" applyFont="1" applyBorder="1" applyAlignment="1">
      <alignment horizontal="left" vertical="center"/>
    </xf>
    <xf numFmtId="164" fontId="4" fillId="0" borderId="14" xfId="0" applyNumberFormat="1" applyFont="1" applyBorder="1" applyAlignment="1">
      <alignment vertical="center"/>
    </xf>
    <xf numFmtId="0" fontId="4" fillId="0" borderId="15" xfId="0" applyFont="1" applyBorder="1" applyAlignment="1">
      <alignment vertical="center"/>
    </xf>
    <xf numFmtId="0" fontId="4" fillId="0" borderId="14" xfId="0" applyFont="1" applyBorder="1" applyAlignment="1">
      <alignment vertical="center"/>
    </xf>
    <xf numFmtId="0" fontId="6" fillId="3" borderId="16" xfId="0" applyFont="1" applyFill="1" applyBorder="1" applyAlignment="1">
      <alignment horizontal="center" vertical="center"/>
    </xf>
    <xf numFmtId="164" fontId="6" fillId="3" borderId="17" xfId="0" applyNumberFormat="1" applyFont="1" applyFill="1" applyBorder="1" applyAlignment="1">
      <alignment vertical="center"/>
    </xf>
    <xf numFmtId="0" fontId="6" fillId="3" borderId="18" xfId="0" applyFont="1" applyFill="1" applyBorder="1" applyAlignment="1">
      <alignment vertical="center"/>
    </xf>
    <xf numFmtId="0" fontId="6" fillId="3" borderId="19" xfId="0" applyFont="1" applyFill="1" applyBorder="1" applyAlignment="1">
      <alignment horizontal="center" vertical="center"/>
    </xf>
    <xf numFmtId="164" fontId="6" fillId="3" borderId="4" xfId="0" applyNumberFormat="1" applyFont="1" applyFill="1" applyBorder="1" applyAlignment="1">
      <alignment vertical="center"/>
    </xf>
    <xf numFmtId="0" fontId="6" fillId="3" borderId="20" xfId="0" applyFont="1" applyFill="1" applyBorder="1" applyAlignment="1">
      <alignment vertical="center"/>
    </xf>
    <xf numFmtId="49" fontId="7" fillId="0" borderId="11" xfId="0" applyNumberFormat="1" applyFont="1" applyBorder="1" applyAlignment="1">
      <alignment horizontal="left" vertical="center"/>
    </xf>
    <xf numFmtId="49" fontId="7" fillId="0" borderId="0" xfId="0" applyNumberFormat="1" applyFont="1" applyAlignment="1">
      <alignment vertical="center"/>
    </xf>
    <xf numFmtId="49" fontId="4" fillId="0" borderId="12" xfId="0" applyNumberFormat="1" applyFont="1" applyBorder="1" applyAlignment="1">
      <alignment vertical="center"/>
    </xf>
    <xf numFmtId="49" fontId="7" fillId="0" borderId="13" xfId="0" applyNumberFormat="1" applyFont="1" applyBorder="1" applyAlignment="1">
      <alignment horizontal="left" vertical="center"/>
    </xf>
    <xf numFmtId="49" fontId="7" fillId="0" borderId="14" xfId="0" applyNumberFormat="1" applyFont="1" applyBorder="1" applyAlignment="1">
      <alignment vertical="center"/>
    </xf>
    <xf numFmtId="49" fontId="4" fillId="0" borderId="15" xfId="0" applyNumberFormat="1" applyFont="1" applyBorder="1" applyAlignment="1">
      <alignment vertical="center"/>
    </xf>
    <xf numFmtId="0" fontId="6" fillId="0" borderId="10" xfId="0" applyFont="1" applyBorder="1" applyAlignment="1">
      <alignment horizontal="left" vertical="center"/>
    </xf>
    <xf numFmtId="0" fontId="8" fillId="4" borderId="23" xfId="0" applyFont="1" applyFill="1" applyBorder="1" applyAlignment="1">
      <alignment horizontal="left" vertical="center"/>
    </xf>
    <xf numFmtId="0" fontId="7" fillId="4" borderId="24" xfId="0" applyFont="1" applyFill="1" applyBorder="1" applyAlignment="1">
      <alignment vertical="center"/>
    </xf>
    <xf numFmtId="164" fontId="7" fillId="4" borderId="24" xfId="0" applyNumberFormat="1" applyFont="1" applyFill="1" applyBorder="1" applyAlignment="1">
      <alignment horizontal="right" vertical="center"/>
    </xf>
    <xf numFmtId="164" fontId="8" fillId="4" borderId="24" xfId="0" applyNumberFormat="1" applyFont="1" applyFill="1" applyBorder="1" applyAlignment="1">
      <alignment vertical="center"/>
    </xf>
    <xf numFmtId="0" fontId="8" fillId="4" borderId="24" xfId="0" applyFont="1" applyFill="1" applyBorder="1" applyAlignment="1">
      <alignment vertical="center"/>
    </xf>
    <xf numFmtId="0" fontId="7" fillId="4" borderId="24" xfId="0" applyFont="1" applyFill="1" applyBorder="1" applyAlignment="1">
      <alignment horizontal="left" vertical="center"/>
    </xf>
    <xf numFmtId="0" fontId="7" fillId="4" borderId="25" xfId="0" applyFont="1" applyFill="1" applyBorder="1" applyAlignment="1">
      <alignment vertical="center"/>
    </xf>
    <xf numFmtId="0" fontId="8" fillId="0" borderId="0" xfId="0" applyFont="1" applyAlignment="1">
      <alignment horizontal="left" vertical="center"/>
    </xf>
    <xf numFmtId="164" fontId="4" fillId="0" borderId="0" xfId="0" applyNumberFormat="1" applyFont="1" applyAlignment="1">
      <alignment horizontal="right" vertical="center"/>
    </xf>
    <xf numFmtId="0" fontId="4" fillId="0" borderId="11" xfId="0" applyFont="1" applyBorder="1" applyAlignment="1">
      <alignment horizontal="left" vertical="center"/>
    </xf>
    <xf numFmtId="164" fontId="4" fillId="0" borderId="0" xfId="0" applyNumberFormat="1" applyFont="1" applyAlignment="1">
      <alignment horizontal="left" vertical="center"/>
    </xf>
    <xf numFmtId="164" fontId="4" fillId="0" borderId="12" xfId="0" applyNumberFormat="1" applyFont="1" applyBorder="1" applyAlignment="1">
      <alignment horizontal="center" vertical="center"/>
    </xf>
    <xf numFmtId="164" fontId="6" fillId="5" borderId="29" xfId="0" applyNumberFormat="1" applyFont="1" applyFill="1" applyBorder="1" applyAlignment="1">
      <alignment horizontal="right" vertical="center"/>
    </xf>
    <xf numFmtId="164" fontId="6" fillId="5" borderId="30" xfId="0" applyNumberFormat="1" applyFont="1" applyFill="1" applyBorder="1" applyAlignment="1">
      <alignment horizontal="center" vertical="center"/>
    </xf>
    <xf numFmtId="0" fontId="4" fillId="0" borderId="11" xfId="0" applyFont="1" applyBorder="1" applyAlignment="1">
      <alignment vertical="center"/>
    </xf>
    <xf numFmtId="164" fontId="6" fillId="0" borderId="0" xfId="0" applyNumberFormat="1" applyFont="1" applyAlignment="1">
      <alignment horizontal="right" vertical="center"/>
    </xf>
    <xf numFmtId="164" fontId="6" fillId="5" borderId="20" xfId="0" applyNumberFormat="1" applyFont="1" applyFill="1" applyBorder="1" applyAlignment="1">
      <alignment horizontal="center" vertical="center"/>
    </xf>
    <xf numFmtId="164" fontId="6" fillId="4" borderId="20" xfId="0" applyNumberFormat="1" applyFont="1" applyFill="1" applyBorder="1" applyAlignment="1">
      <alignment horizontal="center" vertical="center"/>
    </xf>
    <xf numFmtId="164" fontId="6" fillId="6" borderId="4" xfId="0" applyNumberFormat="1" applyFont="1" applyFill="1" applyBorder="1" applyAlignment="1">
      <alignment horizontal="right" vertical="center"/>
    </xf>
    <xf numFmtId="2" fontId="6" fillId="6" borderId="20" xfId="0" applyNumberFormat="1" applyFont="1" applyFill="1" applyBorder="1" applyAlignment="1">
      <alignment horizontal="center" vertical="center"/>
    </xf>
    <xf numFmtId="164" fontId="4" fillId="0" borderId="14" xfId="0" applyNumberFormat="1" applyFont="1" applyBorder="1" applyAlignment="1">
      <alignment horizontal="right" vertical="center"/>
    </xf>
    <xf numFmtId="0" fontId="4" fillId="0" borderId="13" xfId="0" applyFont="1" applyBorder="1" applyAlignment="1">
      <alignment vertical="center"/>
    </xf>
    <xf numFmtId="0" fontId="6" fillId="0" borderId="0" xfId="0" applyFont="1" applyAlignment="1">
      <alignment horizontal="center" vertical="center"/>
    </xf>
    <xf numFmtId="0" fontId="9" fillId="7" borderId="4" xfId="0" applyFont="1" applyFill="1" applyBorder="1" applyAlignment="1">
      <alignment horizontal="center" vertical="center"/>
    </xf>
    <xf numFmtId="0" fontId="7" fillId="0" borderId="0" xfId="0" applyFont="1" applyAlignment="1">
      <alignment horizontal="center" vertical="center"/>
    </xf>
    <xf numFmtId="2" fontId="8" fillId="6" borderId="4" xfId="0" applyNumberFormat="1" applyFont="1" applyFill="1" applyBorder="1" applyAlignment="1">
      <alignment horizontal="center" vertical="center"/>
    </xf>
    <xf numFmtId="2" fontId="8" fillId="0" borderId="0" xfId="0" applyNumberFormat="1" applyFont="1" applyAlignment="1">
      <alignment horizontal="center" vertical="center"/>
    </xf>
    <xf numFmtId="0" fontId="5" fillId="7" borderId="4" xfId="0" applyFont="1" applyFill="1" applyBorder="1" applyAlignment="1">
      <alignment horizontal="center" vertical="center"/>
    </xf>
    <xf numFmtId="0" fontId="6" fillId="0" borderId="0" xfId="0" applyFont="1" applyAlignment="1">
      <alignment vertical="center"/>
    </xf>
    <xf numFmtId="0" fontId="6" fillId="9" borderId="4" xfId="0" applyFont="1" applyFill="1" applyBorder="1" applyAlignment="1">
      <alignment horizontal="center" vertical="center"/>
    </xf>
    <xf numFmtId="0" fontId="8" fillId="0" borderId="0" xfId="0" applyFont="1" applyAlignment="1">
      <alignment horizontal="right" vertical="center"/>
    </xf>
    <xf numFmtId="164" fontId="8" fillId="4" borderId="4" xfId="0" applyNumberFormat="1" applyFont="1" applyFill="1" applyBorder="1" applyAlignment="1">
      <alignment horizontal="center" vertical="center"/>
    </xf>
    <xf numFmtId="164" fontId="8" fillId="8" borderId="4" xfId="0" applyNumberFormat="1" applyFont="1" applyFill="1" applyBorder="1" applyAlignment="1">
      <alignment horizontal="center" vertical="center"/>
    </xf>
    <xf numFmtId="0" fontId="5" fillId="7" borderId="4" xfId="0" applyFont="1" applyFill="1" applyBorder="1" applyAlignment="1">
      <alignment horizontal="left" vertical="center"/>
    </xf>
    <xf numFmtId="0" fontId="5" fillId="7" borderId="4" xfId="0" applyFont="1" applyFill="1" applyBorder="1" applyAlignment="1">
      <alignment vertical="center"/>
    </xf>
    <xf numFmtId="0" fontId="10" fillId="7" borderId="4" xfId="0" applyFont="1" applyFill="1" applyBorder="1" applyAlignment="1">
      <alignment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0" fontId="6" fillId="9" borderId="4" xfId="0" applyFont="1" applyFill="1" applyBorder="1" applyAlignment="1">
      <alignment horizontal="left" vertical="center"/>
    </xf>
    <xf numFmtId="0" fontId="7" fillId="0" borderId="0" xfId="0" applyFont="1" applyAlignment="1">
      <alignment horizontal="left" vertical="center"/>
    </xf>
    <xf numFmtId="49" fontId="11" fillId="0" borderId="0" xfId="0" applyNumberFormat="1" applyFont="1" applyAlignment="1">
      <alignment vertical="center"/>
    </xf>
    <xf numFmtId="49" fontId="11" fillId="0" borderId="0" xfId="0" applyNumberFormat="1" applyFont="1" applyAlignment="1">
      <alignment horizontal="left" vertical="center"/>
    </xf>
    <xf numFmtId="0" fontId="4" fillId="10" borderId="4" xfId="0" applyFont="1" applyFill="1" applyBorder="1" applyAlignment="1">
      <alignment vertical="center"/>
    </xf>
    <xf numFmtId="0" fontId="5" fillId="10" borderId="4" xfId="0" applyFont="1" applyFill="1" applyBorder="1" applyAlignment="1">
      <alignment horizontal="right" vertical="center"/>
    </xf>
    <xf numFmtId="0" fontId="5" fillId="10" borderId="4" xfId="0" applyFont="1" applyFill="1" applyBorder="1" applyAlignment="1">
      <alignment horizontal="center" vertical="center"/>
    </xf>
    <xf numFmtId="0" fontId="7" fillId="0" borderId="0" xfId="0" applyFont="1" applyAlignment="1">
      <alignment horizontal="right" vertical="center"/>
    </xf>
    <xf numFmtId="49" fontId="7" fillId="0" borderId="0" xfId="0" applyNumberFormat="1" applyFont="1" applyAlignment="1">
      <alignment horizontal="left" vertical="center"/>
    </xf>
    <xf numFmtId="0" fontId="10" fillId="10" borderId="4" xfId="0" applyFont="1" applyFill="1" applyBorder="1" applyAlignment="1">
      <alignment vertical="center"/>
    </xf>
    <xf numFmtId="0" fontId="6" fillId="0" borderId="0" xfId="0" applyFont="1" applyAlignment="1">
      <alignment horizontal="right" vertical="center"/>
    </xf>
    <xf numFmtId="49" fontId="6" fillId="0" borderId="0" xfId="0" applyNumberFormat="1" applyFont="1" applyAlignment="1">
      <alignment horizontal="left" vertical="center"/>
    </xf>
    <xf numFmtId="49" fontId="4" fillId="0" borderId="0" xfId="0" applyNumberFormat="1" applyFont="1" applyAlignment="1">
      <alignment vertical="center"/>
    </xf>
    <xf numFmtId="49" fontId="4" fillId="0" borderId="0" xfId="0" applyNumberFormat="1" applyFont="1" applyAlignment="1">
      <alignment horizontal="left" vertical="center"/>
    </xf>
    <xf numFmtId="0" fontId="9" fillId="11" borderId="4" xfId="0" applyFont="1" applyFill="1" applyBorder="1" applyAlignment="1">
      <alignment vertical="center"/>
    </xf>
    <xf numFmtId="0" fontId="10" fillId="11" borderId="4" xfId="0" applyFont="1" applyFill="1" applyBorder="1" applyAlignment="1">
      <alignment vertical="center"/>
    </xf>
    <xf numFmtId="0" fontId="8" fillId="0" borderId="0" xfId="0" applyFont="1" applyAlignment="1">
      <alignment vertical="center"/>
    </xf>
    <xf numFmtId="164" fontId="6" fillId="4" borderId="4" xfId="0" applyNumberFormat="1" applyFont="1" applyFill="1" applyBorder="1" applyAlignment="1">
      <alignment horizontal="center" vertical="center"/>
    </xf>
    <xf numFmtId="164" fontId="13" fillId="0" borderId="0" xfId="0" applyNumberFormat="1" applyFont="1" applyAlignment="1">
      <alignment horizontal="center" vertical="center"/>
    </xf>
    <xf numFmtId="0" fontId="13" fillId="0" borderId="0" xfId="0" applyFont="1" applyAlignment="1">
      <alignment vertical="center"/>
    </xf>
    <xf numFmtId="164" fontId="9" fillId="11" borderId="4" xfId="0" applyNumberFormat="1" applyFont="1" applyFill="1" applyBorder="1" applyAlignment="1">
      <alignment vertical="center"/>
    </xf>
    <xf numFmtId="0" fontId="6" fillId="12" borderId="4" xfId="0" applyFont="1" applyFill="1" applyBorder="1" applyAlignment="1">
      <alignment horizontal="center" vertical="center"/>
    </xf>
    <xf numFmtId="0" fontId="6" fillId="12" borderId="4" xfId="0" applyFont="1" applyFill="1" applyBorder="1" applyAlignment="1">
      <alignment horizontal="left" vertical="center"/>
    </xf>
    <xf numFmtId="0" fontId="6" fillId="12" borderId="4" xfId="0" applyFont="1" applyFill="1" applyBorder="1" applyAlignment="1">
      <alignment vertical="center"/>
    </xf>
    <xf numFmtId="0" fontId="4" fillId="0" borderId="0" xfId="0" applyFont="1" applyAlignment="1">
      <alignment horizontal="right" vertical="center" wrapText="1"/>
    </xf>
    <xf numFmtId="49" fontId="4" fillId="0" borderId="0" xfId="0" applyNumberFormat="1" applyFont="1" applyAlignment="1">
      <alignment horizontal="center" vertical="center"/>
    </xf>
    <xf numFmtId="0" fontId="6" fillId="12" borderId="4" xfId="0" applyFont="1" applyFill="1" applyBorder="1" applyAlignment="1">
      <alignment horizontal="right" vertical="center" wrapText="1"/>
    </xf>
    <xf numFmtId="164" fontId="6" fillId="12" borderId="4" xfId="0" applyNumberFormat="1" applyFont="1" applyFill="1" applyBorder="1" applyAlignment="1">
      <alignment horizontal="center" vertical="center"/>
    </xf>
    <xf numFmtId="0" fontId="4" fillId="12" borderId="4" xfId="0" applyFont="1" applyFill="1" applyBorder="1" applyAlignment="1">
      <alignment vertical="center"/>
    </xf>
    <xf numFmtId="0" fontId="6" fillId="12" borderId="4" xfId="0" applyFont="1" applyFill="1" applyBorder="1" applyAlignment="1">
      <alignment horizontal="right" vertical="center"/>
    </xf>
    <xf numFmtId="0" fontId="8" fillId="0" borderId="0" xfId="0" applyFont="1" applyAlignment="1">
      <alignment horizontal="center" vertical="center"/>
    </xf>
    <xf numFmtId="164" fontId="9" fillId="13" borderId="4" xfId="0" applyNumberFormat="1" applyFont="1" applyFill="1" applyBorder="1" applyAlignment="1">
      <alignment horizontal="center" vertical="center"/>
    </xf>
    <xf numFmtId="0" fontId="4" fillId="0" borderId="39" xfId="0" applyFont="1" applyBorder="1" applyAlignment="1">
      <alignment horizontal="left" vertical="center"/>
    </xf>
    <xf numFmtId="0" fontId="6" fillId="0" borderId="40" xfId="0" applyFont="1" applyBorder="1" applyAlignment="1">
      <alignment horizontal="right" vertical="center"/>
    </xf>
    <xf numFmtId="49" fontId="8" fillId="0" borderId="40" xfId="0" applyNumberFormat="1" applyFont="1" applyBorder="1" applyAlignment="1">
      <alignment horizontal="left" vertical="center"/>
    </xf>
    <xf numFmtId="49" fontId="8" fillId="0" borderId="41" xfId="0" applyNumberFormat="1" applyFont="1" applyBorder="1" applyAlignment="1">
      <alignment horizontal="left" vertical="center"/>
    </xf>
    <xf numFmtId="0" fontId="10" fillId="13" borderId="42" xfId="0" applyFont="1" applyFill="1" applyBorder="1" applyAlignment="1">
      <alignment horizontal="left" vertical="center"/>
    </xf>
    <xf numFmtId="0" fontId="10" fillId="13" borderId="45" xfId="0" applyFont="1" applyFill="1" applyBorder="1" applyAlignment="1">
      <alignment horizontal="left" vertical="center"/>
    </xf>
    <xf numFmtId="0" fontId="6" fillId="0" borderId="46" xfId="0" applyFont="1" applyBorder="1" applyAlignment="1">
      <alignment horizontal="right" vertical="center"/>
    </xf>
    <xf numFmtId="164" fontId="6" fillId="0" borderId="0" xfId="0" applyNumberFormat="1" applyFont="1" applyAlignment="1">
      <alignment horizontal="center" vertical="center"/>
    </xf>
    <xf numFmtId="49" fontId="7" fillId="0" borderId="0" xfId="0" applyNumberFormat="1" applyFont="1" applyAlignment="1">
      <alignment horizontal="center" vertical="center"/>
    </xf>
    <xf numFmtId="0" fontId="4" fillId="0" borderId="47" xfId="0" applyFont="1" applyBorder="1" applyAlignment="1">
      <alignment horizontal="left" vertical="center"/>
    </xf>
    <xf numFmtId="0" fontId="6" fillId="0" borderId="48" xfId="0" applyFont="1" applyBorder="1" applyAlignment="1">
      <alignment horizontal="right" vertical="center"/>
    </xf>
    <xf numFmtId="164" fontId="6" fillId="0" borderId="49" xfId="0" applyNumberFormat="1" applyFont="1" applyBorder="1" applyAlignment="1">
      <alignment horizontal="center" vertical="center"/>
    </xf>
    <xf numFmtId="49" fontId="7" fillId="0" borderId="49" xfId="0" applyNumberFormat="1" applyFont="1" applyBorder="1" applyAlignment="1">
      <alignment horizontal="center" vertical="center"/>
    </xf>
    <xf numFmtId="0" fontId="4" fillId="0" borderId="50" xfId="0" applyFont="1" applyBorder="1" applyAlignment="1">
      <alignment horizontal="left" vertical="center"/>
    </xf>
    <xf numFmtId="0" fontId="4" fillId="0" borderId="5" xfId="0" applyFont="1" applyBorder="1" applyAlignment="1">
      <alignment horizontal="left" vertical="center"/>
    </xf>
    <xf numFmtId="0" fontId="6" fillId="0" borderId="6" xfId="0" applyFont="1" applyBorder="1" applyAlignment="1">
      <alignment horizontal="right" vertical="center"/>
    </xf>
    <xf numFmtId="164" fontId="13" fillId="0" borderId="6" xfId="0" applyNumberFormat="1" applyFont="1" applyBorder="1" applyAlignment="1">
      <alignment horizontal="left" vertical="center"/>
    </xf>
    <xf numFmtId="0" fontId="4" fillId="0" borderId="6" xfId="0" applyFont="1" applyBorder="1" applyAlignment="1">
      <alignment horizontal="left" vertical="center"/>
    </xf>
    <xf numFmtId="0" fontId="4" fillId="0" borderId="6" xfId="0" applyFont="1" applyBorder="1" applyAlignment="1">
      <alignment vertical="center"/>
    </xf>
    <xf numFmtId="0" fontId="4" fillId="0" borderId="7" xfId="0" applyFont="1" applyBorder="1" applyAlignment="1">
      <alignment vertical="center"/>
    </xf>
    <xf numFmtId="0" fontId="13" fillId="0" borderId="51" xfId="0" applyFont="1" applyBorder="1" applyAlignment="1">
      <alignment horizontal="center" vertical="center"/>
    </xf>
    <xf numFmtId="0" fontId="8" fillId="0" borderId="8" xfId="0" applyFont="1" applyBorder="1" applyAlignment="1">
      <alignment horizontal="center" vertical="center"/>
    </xf>
    <xf numFmtId="164" fontId="8" fillId="0" borderId="9" xfId="0" applyNumberFormat="1" applyFont="1" applyBorder="1" applyAlignment="1">
      <alignment horizontal="center" vertical="center"/>
    </xf>
    <xf numFmtId="164" fontId="8" fillId="0" borderId="9" xfId="0" applyNumberFormat="1" applyFont="1" applyBorder="1" applyAlignment="1">
      <alignment horizontal="right" vertical="center"/>
    </xf>
    <xf numFmtId="164" fontId="9" fillId="2" borderId="19" xfId="0" applyNumberFormat="1" applyFont="1" applyFill="1" applyBorder="1" applyAlignment="1">
      <alignment vertical="center"/>
    </xf>
    <xf numFmtId="0" fontId="9" fillId="2" borderId="20" xfId="0" applyFont="1" applyFill="1" applyBorder="1" applyAlignment="1">
      <alignment vertical="center"/>
    </xf>
    <xf numFmtId="0" fontId="8" fillId="0" borderId="52" xfId="0" applyFont="1" applyBorder="1" applyAlignment="1">
      <alignment horizontal="center" vertical="center"/>
    </xf>
    <xf numFmtId="164" fontId="8" fillId="0" borderId="53" xfId="0" applyNumberFormat="1" applyFont="1" applyBorder="1" applyAlignment="1">
      <alignment horizontal="center" vertical="center"/>
    </xf>
    <xf numFmtId="164" fontId="8" fillId="0" borderId="53" xfId="0" applyNumberFormat="1" applyFont="1" applyBorder="1" applyAlignment="1">
      <alignment horizontal="right" vertical="center"/>
    </xf>
    <xf numFmtId="0" fontId="6" fillId="0" borderId="54" xfId="0" applyFont="1" applyBorder="1" applyAlignment="1">
      <alignment horizontal="left" vertical="center"/>
    </xf>
    <xf numFmtId="0" fontId="8" fillId="0" borderId="13" xfId="0" applyFont="1" applyBorder="1" applyAlignment="1">
      <alignment horizontal="center" vertical="center"/>
    </xf>
    <xf numFmtId="164" fontId="8" fillId="0" borderId="14" xfId="0" applyNumberFormat="1" applyFont="1" applyBorder="1" applyAlignment="1">
      <alignment horizontal="center" vertical="center"/>
    </xf>
    <xf numFmtId="164" fontId="8" fillId="0" borderId="14" xfId="0" applyNumberFormat="1" applyFont="1" applyBorder="1" applyAlignment="1">
      <alignment horizontal="right" vertical="center"/>
    </xf>
    <xf numFmtId="0" fontId="6" fillId="0" borderId="15" xfId="0" applyFont="1" applyBorder="1" applyAlignment="1">
      <alignment horizontal="left" vertical="center"/>
    </xf>
    <xf numFmtId="164" fontId="9" fillId="2" borderId="55" xfId="0" applyNumberFormat="1" applyFont="1" applyFill="1" applyBorder="1" applyAlignment="1">
      <alignment vertical="center"/>
    </xf>
    <xf numFmtId="0" fontId="9" fillId="2" borderId="30" xfId="0" applyFont="1" applyFill="1" applyBorder="1" applyAlignment="1">
      <alignment vertical="center"/>
    </xf>
    <xf numFmtId="0" fontId="9" fillId="2" borderId="4" xfId="0" applyFont="1" applyFill="1" applyBorder="1" applyAlignment="1">
      <alignment vertical="center"/>
    </xf>
    <xf numFmtId="0" fontId="9" fillId="2" borderId="4" xfId="0" applyFont="1" applyFill="1" applyBorder="1" applyAlignment="1">
      <alignment horizontal="left" vertical="center"/>
    </xf>
    <xf numFmtId="164" fontId="9" fillId="2" borderId="4" xfId="0" applyNumberFormat="1" applyFont="1" applyFill="1" applyBorder="1" applyAlignment="1">
      <alignment vertical="center"/>
    </xf>
    <xf numFmtId="0" fontId="4" fillId="0" borderId="13" xfId="0" applyFont="1" applyBorder="1" applyAlignment="1">
      <alignment horizontal="center" vertical="center"/>
    </xf>
    <xf numFmtId="0" fontId="6" fillId="0" borderId="8" xfId="0" applyFont="1" applyBorder="1" applyAlignment="1">
      <alignment horizontal="center" vertical="center"/>
    </xf>
    <xf numFmtId="0" fontId="0" fillId="0" borderId="0" xfId="0"/>
    <xf numFmtId="0" fontId="6" fillId="12" borderId="4" xfId="0" applyFont="1" applyFill="1" applyBorder="1" applyAlignment="1">
      <alignment horizontal="left" vertical="center" wrapText="1"/>
    </xf>
    <xf numFmtId="0" fontId="6" fillId="0" borderId="8" xfId="0" applyFont="1" applyBorder="1" applyAlignment="1">
      <alignment horizontal="center" vertical="center"/>
    </xf>
    <xf numFmtId="0" fontId="3" fillId="0" borderId="9" xfId="0" applyFont="1" applyBorder="1"/>
    <xf numFmtId="0" fontId="3" fillId="0" borderId="10" xfId="0" applyFont="1" applyBorder="1"/>
    <xf numFmtId="0" fontId="6" fillId="0" borderId="8" xfId="0" applyFont="1" applyBorder="1" applyAlignment="1">
      <alignment horizontal="center" vertical="center" wrapText="1"/>
    </xf>
    <xf numFmtId="0" fontId="3" fillId="0" borderId="13" xfId="0" applyFont="1" applyBorder="1"/>
    <xf numFmtId="164" fontId="6" fillId="4" borderId="21" xfId="0" applyNumberFormat="1" applyFont="1" applyFill="1" applyBorder="1" applyAlignment="1">
      <alignment horizontal="center" vertical="center"/>
    </xf>
    <xf numFmtId="0" fontId="3" fillId="0" borderId="22" xfId="0" applyFont="1" applyBorder="1"/>
    <xf numFmtId="0" fontId="6" fillId="0" borderId="10" xfId="0" applyFont="1" applyBorder="1" applyAlignment="1">
      <alignment horizontal="left" vertical="center"/>
    </xf>
    <xf numFmtId="0" fontId="3" fillId="0" borderId="15" xfId="0" applyFont="1" applyBorder="1"/>
    <xf numFmtId="0" fontId="4" fillId="5" borderId="26" xfId="0" applyFont="1" applyFill="1" applyBorder="1" applyAlignment="1">
      <alignment horizontal="center" vertical="center"/>
    </xf>
    <xf numFmtId="0" fontId="3" fillId="0" borderId="27" xfId="0" applyFont="1" applyBorder="1"/>
    <xf numFmtId="0" fontId="3" fillId="0" borderId="28" xfId="0" applyFont="1" applyBorder="1"/>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8" fillId="8" borderId="31" xfId="0" applyFont="1" applyFill="1" applyBorder="1" applyAlignment="1">
      <alignment horizontal="left" vertical="center" wrapText="1"/>
    </xf>
    <xf numFmtId="0" fontId="3" fillId="0" borderId="32" xfId="0" applyFont="1" applyBorder="1"/>
    <xf numFmtId="0" fontId="3" fillId="0" borderId="33" xfId="0" applyFont="1" applyBorder="1"/>
    <xf numFmtId="0" fontId="3" fillId="0" borderId="36" xfId="0" applyFont="1" applyBorder="1"/>
    <xf numFmtId="0" fontId="3" fillId="0" borderId="37" xfId="0" applyFont="1" applyBorder="1"/>
    <xf numFmtId="0" fontId="3" fillId="0" borderId="38" xfId="0" applyFont="1" applyBorder="1"/>
    <xf numFmtId="0" fontId="6" fillId="0" borderId="0" xfId="0" applyFont="1" applyAlignment="1">
      <alignment horizontal="left" vertical="top" wrapText="1"/>
    </xf>
    <xf numFmtId="0" fontId="0" fillId="0" borderId="0" xfId="0"/>
    <xf numFmtId="0" fontId="6" fillId="0" borderId="11" xfId="0" applyFont="1" applyBorder="1" applyAlignment="1">
      <alignment horizontal="center" vertical="center" wrapText="1"/>
    </xf>
    <xf numFmtId="0" fontId="3" fillId="0" borderId="12" xfId="0" applyFont="1" applyBorder="1"/>
    <xf numFmtId="0" fontId="6" fillId="0" borderId="9" xfId="0" applyFont="1" applyBorder="1" applyAlignment="1">
      <alignment horizontal="center" vertical="center"/>
    </xf>
    <xf numFmtId="0" fontId="4" fillId="0" borderId="31" xfId="0" applyFont="1" applyBorder="1" applyAlignment="1">
      <alignment horizontal="left" vertical="top" wrapText="1"/>
    </xf>
    <xf numFmtId="0" fontId="3" fillId="0" borderId="34" xfId="0" applyFont="1" applyBorder="1"/>
    <xf numFmtId="0" fontId="3" fillId="0" borderId="35" xfId="0" applyFont="1" applyBorder="1"/>
    <xf numFmtId="0" fontId="6" fillId="3" borderId="5" xfId="0" applyFont="1" applyFill="1" applyBorder="1" applyAlignment="1">
      <alignment horizontal="center" vertical="center"/>
    </xf>
    <xf numFmtId="0" fontId="3" fillId="0" borderId="6" xfId="0" applyFont="1" applyBorder="1"/>
    <xf numFmtId="0" fontId="3" fillId="0" borderId="7" xfId="0" applyFont="1" applyBorder="1"/>
    <xf numFmtId="0" fontId="6" fillId="0" borderId="11" xfId="0" applyFont="1" applyBorder="1" applyAlignment="1">
      <alignment horizontal="center" vertical="center"/>
    </xf>
    <xf numFmtId="164" fontId="14" fillId="0" borderId="5" xfId="0" applyNumberFormat="1" applyFont="1" applyBorder="1" applyAlignment="1">
      <alignment horizontal="center" vertical="center"/>
    </xf>
    <xf numFmtId="0" fontId="5" fillId="13" borderId="1" xfId="0" applyFont="1" applyFill="1" applyBorder="1" applyAlignment="1">
      <alignment horizontal="center" vertical="center"/>
    </xf>
    <xf numFmtId="0" fontId="5" fillId="13" borderId="43" xfId="0" applyFont="1" applyFill="1" applyBorder="1" applyAlignment="1">
      <alignment horizontal="center" vertical="center"/>
    </xf>
    <xf numFmtId="0" fontId="3" fillId="0" borderId="44" xfId="0" applyFont="1" applyBorder="1"/>
    <xf numFmtId="0" fontId="12" fillId="0" borderId="0" xfId="0" applyFont="1" applyAlignment="1">
      <alignment horizontal="center" vertical="center"/>
    </xf>
    <xf numFmtId="0" fontId="4" fillId="0" borderId="0" xfId="0" applyFont="1" applyAlignment="1">
      <alignment horizontal="left" vertical="top" wrapText="1"/>
    </xf>
    <xf numFmtId="0" fontId="9" fillId="2" borderId="26" xfId="0" applyFont="1" applyFill="1" applyBorder="1" applyAlignment="1">
      <alignment horizontal="center" vertical="center"/>
    </xf>
    <xf numFmtId="0" fontId="4" fillId="0" borderId="0" xfId="0" applyFont="1" applyAlignment="1">
      <alignment horizontal="left" vertical="top"/>
    </xf>
    <xf numFmtId="0" fontId="6" fillId="12" borderId="1" xfId="0" applyFont="1" applyFill="1" applyBorder="1" applyAlignment="1">
      <alignment horizontal="center" vertical="center"/>
    </xf>
    <xf numFmtId="0" fontId="4" fillId="0" borderId="0" xfId="0" applyFont="1" applyAlignment="1">
      <alignment horizontal="right" vertical="center" wrapText="1"/>
    </xf>
    <xf numFmtId="0" fontId="4" fillId="0" borderId="0" xfId="0" applyFont="1" applyAlignment="1">
      <alignment horizontal="center" vertical="center" wrapText="1"/>
    </xf>
    <xf numFmtId="0" fontId="8" fillId="0" borderId="31" xfId="0" applyFont="1" applyBorder="1" applyAlignment="1">
      <alignment horizontal="left" vertical="center" wrapText="1"/>
    </xf>
    <xf numFmtId="0" fontId="4" fillId="14" borderId="0" xfId="0" applyFont="1" applyFill="1" applyAlignment="1">
      <alignment horizontal="center" vertical="center"/>
    </xf>
    <xf numFmtId="0" fontId="16" fillId="0" borderId="0" xfId="0" applyFont="1"/>
    <xf numFmtId="0" fontId="16" fillId="0" borderId="56" xfId="0" applyFont="1" applyBorder="1" applyAlignment="1">
      <alignment horizontal="center"/>
    </xf>
    <xf numFmtId="0" fontId="16" fillId="0" borderId="56" xfId="0" applyFont="1" applyBorder="1" applyAlignment="1">
      <alignment horizontal="left"/>
    </xf>
    <xf numFmtId="0" fontId="16" fillId="0" borderId="56" xfId="0" applyFont="1" applyBorder="1" applyAlignment="1"/>
    <xf numFmtId="0" fontId="16" fillId="0" borderId="57" xfId="0" applyFont="1" applyBorder="1" applyAlignment="1">
      <alignment horizontal="center"/>
    </xf>
    <xf numFmtId="0" fontId="16" fillId="0" borderId="58" xfId="0" applyFont="1" applyBorder="1" applyAlignment="1">
      <alignment horizontal="center"/>
    </xf>
    <xf numFmtId="0" fontId="16" fillId="0" borderId="59" xfId="0" applyFont="1" applyBorder="1" applyAlignment="1">
      <alignment horizontal="center"/>
    </xf>
    <xf numFmtId="164" fontId="0" fillId="14" borderId="56" xfId="0" applyNumberFormat="1" applyFill="1" applyBorder="1"/>
    <xf numFmtId="0" fontId="16" fillId="0" borderId="56" xfId="0" applyFont="1" applyBorder="1" applyAlignment="1">
      <alignment horizontal="left"/>
    </xf>
    <xf numFmtId="0" fontId="16" fillId="0" borderId="61" xfId="0" applyFont="1" applyBorder="1" applyAlignment="1">
      <alignment horizontal="left"/>
    </xf>
    <xf numFmtId="0" fontId="0" fillId="0" borderId="4" xfId="0" applyBorder="1"/>
    <xf numFmtId="0" fontId="16" fillId="14" borderId="56" xfId="0" applyFont="1" applyFill="1" applyBorder="1" applyAlignment="1">
      <alignment horizontal="center" vertical="center" wrapText="1"/>
    </xf>
    <xf numFmtId="0" fontId="16" fillId="0" borderId="56" xfId="0" applyFont="1" applyBorder="1" applyAlignment="1">
      <alignment horizontal="center" vertical="center" wrapText="1"/>
    </xf>
    <xf numFmtId="171" fontId="0" fillId="0" borderId="56" xfId="0" applyNumberFormat="1" applyBorder="1"/>
    <xf numFmtId="0" fontId="16" fillId="14" borderId="60" xfId="0" applyFont="1" applyFill="1" applyBorder="1" applyAlignment="1">
      <alignment horizontal="center" wrapText="1"/>
    </xf>
    <xf numFmtId="0" fontId="0" fillId="14" borderId="60" xfId="0" applyFill="1" applyBorder="1" applyAlignment="1">
      <alignment horizontal="center" wrapText="1"/>
    </xf>
    <xf numFmtId="0" fontId="0" fillId="14" borderId="4" xfId="0" applyFill="1" applyBorder="1" applyAlignment="1">
      <alignment horizontal="center" wrapText="1"/>
    </xf>
    <xf numFmtId="0" fontId="18" fillId="0" borderId="56" xfId="0" applyFont="1" applyBorder="1" applyAlignment="1">
      <alignment horizontal="center" wrapText="1"/>
    </xf>
    <xf numFmtId="0" fontId="18" fillId="0" borderId="56" xfId="0" applyFont="1" applyBorder="1" applyAlignment="1">
      <alignment horizontal="center"/>
    </xf>
    <xf numFmtId="0" fontId="0" fillId="14" borderId="56" xfId="0" applyFill="1" applyBorder="1" applyAlignment="1">
      <alignment horizontal="center" vertical="center" wrapText="1"/>
    </xf>
    <xf numFmtId="0" fontId="3" fillId="0" borderId="4" xfId="0" applyFont="1" applyBorder="1"/>
    <xf numFmtId="0" fontId="2" fillId="0" borderId="4" xfId="0" applyFont="1" applyFill="1" applyBorder="1" applyAlignment="1">
      <alignment horizontal="center" vertical="center"/>
    </xf>
    <xf numFmtId="0" fontId="5"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819149</xdr:colOff>
      <xdr:row>92</xdr:row>
      <xdr:rowOff>71693</xdr:rowOff>
    </xdr:from>
    <xdr:ext cx="4107221" cy="3840726"/>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648746" y="18978306"/>
          <a:ext cx="4107221" cy="3840726"/>
        </a:xfrm>
        <a:prstGeom prst="rect">
          <a:avLst/>
        </a:prstGeom>
        <a:noFill/>
      </xdr:spPr>
    </xdr:pic>
    <xdr:clientData fLocksWithSheet="0"/>
  </xdr:oneCellAnchor>
  <xdr:oneCellAnchor>
    <xdr:from>
      <xdr:col>1</xdr:col>
      <xdr:colOff>622300</xdr:colOff>
      <xdr:row>122</xdr:row>
      <xdr:rowOff>25400</xdr:rowOff>
    </xdr:from>
    <xdr:ext cx="4368800" cy="4546600"/>
    <xdr:pic>
      <xdr:nvPicPr>
        <xdr:cNvPr id="3" name="image2.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extLst>
            <a:ext uri="{BEBA8EAE-BF5A-486C-A8C5-ECC9F3942E4B}">
              <a14:imgProps xmlns:a14="http://schemas.microsoft.com/office/drawing/2010/main">
                <a14:imgLayer r:embed="rId3">
                  <a14:imgEffect>
                    <a14:sharpenSoften amount="50000"/>
                  </a14:imgEffect>
                </a14:imgLayer>
              </a14:imgProps>
            </a:ext>
          </a:extLst>
        </a:blip>
        <a:stretch>
          <a:fillRect/>
        </a:stretch>
      </xdr:blipFill>
      <xdr:spPr>
        <a:xfrm>
          <a:off x="1447800" y="24454757"/>
          <a:ext cx="4368800" cy="45466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819150</xdr:colOff>
      <xdr:row>80</xdr:row>
      <xdr:rowOff>19050</xdr:rowOff>
    </xdr:from>
    <xdr:ext cx="2400300" cy="3028950"/>
    <xdr:pic>
      <xdr:nvPicPr>
        <xdr:cNvPr id="2" name="image3.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0</xdr:colOff>
      <xdr:row>110</xdr:row>
      <xdr:rowOff>0</xdr:rowOff>
    </xdr:from>
    <xdr:ext cx="3048000" cy="3819525"/>
    <xdr:pic>
      <xdr:nvPicPr>
        <xdr:cNvPr id="3" name="image4.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257952</xdr:colOff>
      <xdr:row>0</xdr:row>
      <xdr:rowOff>0</xdr:rowOff>
    </xdr:from>
    <xdr:to>
      <xdr:col>18</xdr:col>
      <xdr:colOff>105523</xdr:colOff>
      <xdr:row>30</xdr:row>
      <xdr:rowOff>72532</xdr:rowOff>
    </xdr:to>
    <xdr:pic>
      <xdr:nvPicPr>
        <xdr:cNvPr id="2" name="Picture 1">
          <a:extLst>
            <a:ext uri="{FF2B5EF4-FFF2-40B4-BE49-F238E27FC236}">
              <a16:creationId xmlns:a16="http://schemas.microsoft.com/office/drawing/2014/main" id="{959BAC5D-7BA7-A892-7DB7-0BFDCFAEA959}"/>
            </a:ext>
          </a:extLst>
        </xdr:cNvPr>
        <xdr:cNvPicPr>
          <a:picLocks noChangeAspect="1"/>
        </xdr:cNvPicPr>
      </xdr:nvPicPr>
      <xdr:blipFill>
        <a:blip xmlns:r="http://schemas.openxmlformats.org/officeDocument/2006/relationships" r:embed="rId1"/>
        <a:stretch>
          <a:fillRect/>
        </a:stretch>
      </xdr:blipFill>
      <xdr:spPr>
        <a:xfrm>
          <a:off x="928512" y="0"/>
          <a:ext cx="11247091" cy="601613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7"/>
  <sheetViews>
    <sheetView showGridLines="0" tabSelected="1" zoomScale="107" workbookViewId="0">
      <selection activeCell="C2" sqref="C2"/>
    </sheetView>
  </sheetViews>
  <sheetFormatPr baseColWidth="10" defaultColWidth="12.625" defaultRowHeight="15" customHeight="1" x14ac:dyDescent="0.25"/>
  <cols>
    <col min="1" max="2" width="10.875" customWidth="1"/>
    <col min="3" max="3" width="23.875" customWidth="1"/>
    <col min="4" max="4" width="13.625" customWidth="1"/>
    <col min="5" max="5" width="11.5" customWidth="1"/>
    <col min="6" max="6" width="15.875" customWidth="1"/>
    <col min="7" max="7" width="14.625" customWidth="1"/>
    <col min="8" max="8" width="10.875" customWidth="1"/>
    <col min="9" max="9" width="14.625" customWidth="1"/>
    <col min="10" max="10" width="13.625" customWidth="1"/>
    <col min="11" max="15" width="10.875" customWidth="1"/>
  </cols>
  <sheetData>
    <row r="1" spans="1:15" ht="23.25" x14ac:dyDescent="0.25">
      <c r="A1" s="152" t="s">
        <v>0</v>
      </c>
      <c r="B1" s="153"/>
      <c r="C1" s="153"/>
      <c r="D1" s="153"/>
      <c r="E1" s="153"/>
      <c r="F1" s="153"/>
      <c r="G1" s="153"/>
      <c r="H1" s="153"/>
      <c r="I1" s="153"/>
      <c r="J1" s="153"/>
      <c r="K1" s="153"/>
      <c r="L1" s="153"/>
      <c r="M1" s="153"/>
      <c r="N1" s="153"/>
      <c r="O1" s="154"/>
    </row>
    <row r="2" spans="1:15" s="138" customFormat="1" ht="23.25" x14ac:dyDescent="0.25">
      <c r="A2" s="207"/>
      <c r="B2" s="208" t="s">
        <v>223</v>
      </c>
      <c r="C2" s="208" t="s">
        <v>224</v>
      </c>
      <c r="D2" s="206"/>
      <c r="E2" s="206"/>
      <c r="F2" s="206"/>
      <c r="G2" s="206"/>
      <c r="H2" s="206"/>
      <c r="I2" s="206"/>
      <c r="J2" s="206"/>
      <c r="K2" s="206"/>
      <c r="L2" s="206"/>
      <c r="M2" s="206"/>
      <c r="N2" s="206"/>
      <c r="O2" s="206"/>
    </row>
    <row r="3" spans="1:15" ht="15.75" x14ac:dyDescent="0.25">
      <c r="A3" s="1"/>
      <c r="B3" s="1"/>
      <c r="C3" s="2"/>
      <c r="D3" s="1"/>
      <c r="E3" s="1"/>
      <c r="F3" s="2"/>
      <c r="G3" s="1"/>
      <c r="H3" s="1"/>
      <c r="I3" s="2"/>
      <c r="J3" s="1"/>
      <c r="K3" s="1"/>
      <c r="L3" s="1"/>
      <c r="M3" s="1"/>
      <c r="N3" s="1"/>
      <c r="O3" s="1"/>
    </row>
    <row r="4" spans="1:15" ht="15.75" x14ac:dyDescent="0.25">
      <c r="A4" s="1"/>
      <c r="B4" s="3" t="s">
        <v>1</v>
      </c>
      <c r="C4" s="4" t="s">
        <v>2</v>
      </c>
      <c r="D4" s="1"/>
      <c r="E4" s="1"/>
      <c r="F4" s="2"/>
      <c r="G4" s="1"/>
      <c r="H4" s="1"/>
      <c r="I4" s="2"/>
      <c r="J4" s="1"/>
      <c r="K4" s="1"/>
      <c r="L4" s="1"/>
      <c r="M4" s="1"/>
      <c r="N4" s="1"/>
      <c r="O4" s="1"/>
    </row>
    <row r="5" spans="1:15" ht="15.75" x14ac:dyDescent="0.25">
      <c r="A5" s="1"/>
      <c r="B5" s="1"/>
      <c r="C5" s="5" t="s">
        <v>3</v>
      </c>
      <c r="D5" s="1" t="s">
        <v>4</v>
      </c>
      <c r="E5" s="1"/>
      <c r="F5" s="2"/>
      <c r="G5" s="185" t="s">
        <v>194</v>
      </c>
      <c r="H5" s="185"/>
      <c r="I5" s="185"/>
      <c r="J5" s="1"/>
      <c r="K5" s="1"/>
      <c r="L5" s="1"/>
      <c r="M5" s="1"/>
      <c r="N5" s="1"/>
      <c r="O5" s="1"/>
    </row>
    <row r="6" spans="1:15" ht="15.75" x14ac:dyDescent="0.25">
      <c r="A6" s="1"/>
      <c r="B6" s="1"/>
      <c r="C6" s="5" t="s">
        <v>5</v>
      </c>
      <c r="D6" s="1" t="s">
        <v>6</v>
      </c>
      <c r="E6" s="1"/>
      <c r="F6" s="2"/>
      <c r="G6" s="185" t="s">
        <v>195</v>
      </c>
      <c r="H6" s="185"/>
      <c r="I6" s="185"/>
      <c r="J6" s="1"/>
      <c r="K6" s="1"/>
      <c r="L6" s="1"/>
      <c r="M6" s="1"/>
      <c r="N6" s="1"/>
      <c r="O6" s="1"/>
    </row>
    <row r="7" spans="1:15" ht="15.75" x14ac:dyDescent="0.25">
      <c r="A7" s="1"/>
      <c r="B7" s="1"/>
      <c r="C7" s="2"/>
      <c r="D7" s="1"/>
      <c r="E7" s="1"/>
      <c r="F7" s="2"/>
      <c r="G7" s="1"/>
      <c r="H7" s="1"/>
      <c r="I7" s="2"/>
      <c r="J7" s="1"/>
      <c r="K7" s="1"/>
      <c r="L7" s="1"/>
      <c r="M7" s="1"/>
      <c r="N7" s="1"/>
      <c r="O7" s="1"/>
    </row>
    <row r="8" spans="1:15" ht="15.75" x14ac:dyDescent="0.25">
      <c r="A8" s="1"/>
      <c r="B8" s="1"/>
      <c r="C8" s="2"/>
      <c r="D8" s="1"/>
      <c r="E8" s="1"/>
      <c r="F8" s="2"/>
      <c r="G8" s="1"/>
      <c r="H8" s="1"/>
      <c r="I8" s="2"/>
      <c r="J8" s="1"/>
      <c r="K8" s="1"/>
      <c r="L8" s="1"/>
      <c r="M8" s="1"/>
      <c r="N8" s="1"/>
      <c r="O8" s="1"/>
    </row>
    <row r="9" spans="1:15" ht="15.75" x14ac:dyDescent="0.25">
      <c r="A9" s="1"/>
      <c r="B9" s="3" t="s">
        <v>7</v>
      </c>
      <c r="C9" s="4" t="s">
        <v>8</v>
      </c>
      <c r="D9" s="1"/>
      <c r="E9" s="1"/>
      <c r="F9" s="2"/>
      <c r="G9" s="1"/>
      <c r="H9" s="1"/>
      <c r="I9" s="2"/>
      <c r="J9" s="1"/>
      <c r="K9" s="1"/>
      <c r="L9" s="1"/>
      <c r="M9" s="1"/>
      <c r="N9" s="1"/>
      <c r="O9" s="1"/>
    </row>
    <row r="10" spans="1:15" ht="15.75" x14ac:dyDescent="0.25">
      <c r="A10" s="1"/>
      <c r="B10" s="1"/>
      <c r="C10" s="4"/>
      <c r="D10" s="1"/>
      <c r="E10" s="1"/>
      <c r="F10" s="2"/>
      <c r="G10" s="1"/>
      <c r="H10" s="1"/>
      <c r="I10" s="2"/>
      <c r="J10" s="1"/>
      <c r="K10" s="1"/>
      <c r="L10" s="1"/>
      <c r="M10" s="1"/>
      <c r="N10" s="1"/>
      <c r="O10" s="1"/>
    </row>
    <row r="11" spans="1:15" ht="15.75" x14ac:dyDescent="0.25">
      <c r="A11" s="1"/>
      <c r="B11" s="1"/>
      <c r="C11" s="169" t="s">
        <v>9</v>
      </c>
      <c r="D11" s="170"/>
      <c r="E11" s="171"/>
      <c r="F11" s="169" t="s">
        <v>10</v>
      </c>
      <c r="G11" s="170"/>
      <c r="H11" s="171"/>
      <c r="I11" s="169" t="s">
        <v>11</v>
      </c>
      <c r="J11" s="170"/>
      <c r="K11" s="171"/>
      <c r="L11" s="1"/>
      <c r="M11" s="1"/>
      <c r="N11" s="1"/>
      <c r="O11" s="1"/>
    </row>
    <row r="12" spans="1:15" ht="15.75" x14ac:dyDescent="0.25">
      <c r="A12" s="1"/>
      <c r="B12" s="1"/>
      <c r="C12" s="6" t="s">
        <v>12</v>
      </c>
      <c r="D12" s="165" t="s">
        <v>13</v>
      </c>
      <c r="E12" s="142"/>
      <c r="F12" s="6" t="s">
        <v>12</v>
      </c>
      <c r="G12" s="165" t="s">
        <v>13</v>
      </c>
      <c r="H12" s="142"/>
      <c r="I12" s="6" t="s">
        <v>12</v>
      </c>
      <c r="J12" s="165" t="s">
        <v>13</v>
      </c>
      <c r="K12" s="142"/>
      <c r="L12" s="1"/>
      <c r="M12" s="1"/>
      <c r="N12" s="1"/>
      <c r="O12" s="1"/>
    </row>
    <row r="13" spans="1:15" ht="15.75" x14ac:dyDescent="0.25">
      <c r="A13" s="1"/>
      <c r="B13" s="1"/>
      <c r="C13" s="7">
        <v>1</v>
      </c>
      <c r="D13" s="8">
        <v>0.98</v>
      </c>
      <c r="E13" s="9" t="s">
        <v>14</v>
      </c>
      <c r="F13" s="7">
        <v>1</v>
      </c>
      <c r="G13" s="8">
        <v>2.4500000000000002</v>
      </c>
      <c r="H13" s="9" t="s">
        <v>14</v>
      </c>
      <c r="I13" s="7">
        <v>1</v>
      </c>
      <c r="J13" s="8">
        <v>1.95</v>
      </c>
      <c r="K13" s="9" t="s">
        <v>14</v>
      </c>
      <c r="L13" s="1"/>
      <c r="M13" s="1"/>
      <c r="N13" s="5"/>
      <c r="O13" s="8"/>
    </row>
    <row r="14" spans="1:15" ht="15.75" x14ac:dyDescent="0.25">
      <c r="A14" s="1"/>
      <c r="B14" s="1"/>
      <c r="C14" s="7">
        <v>2</v>
      </c>
      <c r="D14" s="8">
        <v>1.02</v>
      </c>
      <c r="E14" s="9" t="s">
        <v>14</v>
      </c>
      <c r="F14" s="7">
        <v>2</v>
      </c>
      <c r="G14" s="8">
        <v>2.5</v>
      </c>
      <c r="H14" s="9" t="s">
        <v>14</v>
      </c>
      <c r="I14" s="7">
        <v>2</v>
      </c>
      <c r="J14" s="8">
        <v>1.9</v>
      </c>
      <c r="K14" s="9" t="s">
        <v>14</v>
      </c>
      <c r="L14" s="1"/>
      <c r="M14" s="1"/>
      <c r="N14" s="5"/>
      <c r="O14" s="8"/>
    </row>
    <row r="15" spans="1:15" ht="15.75" x14ac:dyDescent="0.25">
      <c r="A15" s="1"/>
      <c r="B15" s="1"/>
      <c r="C15" s="7">
        <v>3</v>
      </c>
      <c r="D15" s="8">
        <v>1.05</v>
      </c>
      <c r="E15" s="9" t="s">
        <v>14</v>
      </c>
      <c r="F15" s="7">
        <v>3</v>
      </c>
      <c r="G15" s="8">
        <v>2.48</v>
      </c>
      <c r="H15" s="9" t="s">
        <v>14</v>
      </c>
      <c r="I15" s="7">
        <v>3</v>
      </c>
      <c r="J15" s="8">
        <v>1.98</v>
      </c>
      <c r="K15" s="9" t="s">
        <v>14</v>
      </c>
      <c r="L15" s="1"/>
      <c r="M15" s="1"/>
      <c r="N15" s="5"/>
      <c r="O15" s="8"/>
    </row>
    <row r="16" spans="1:15" ht="15.75" x14ac:dyDescent="0.25">
      <c r="A16" s="1"/>
      <c r="B16" s="1"/>
      <c r="C16" s="7">
        <v>4</v>
      </c>
      <c r="D16" s="8">
        <v>0.99</v>
      </c>
      <c r="E16" s="9" t="s">
        <v>14</v>
      </c>
      <c r="F16" s="7">
        <v>4</v>
      </c>
      <c r="G16" s="8">
        <v>2.5499999999999998</v>
      </c>
      <c r="H16" s="9" t="s">
        <v>14</v>
      </c>
      <c r="I16" s="7">
        <v>4</v>
      </c>
      <c r="J16" s="8">
        <v>1.92</v>
      </c>
      <c r="K16" s="9" t="s">
        <v>14</v>
      </c>
      <c r="L16" s="1"/>
      <c r="M16" s="1"/>
      <c r="N16" s="5"/>
      <c r="O16" s="8"/>
    </row>
    <row r="17" spans="1:15" ht="15.75" x14ac:dyDescent="0.25">
      <c r="A17" s="1"/>
      <c r="B17" s="1"/>
      <c r="C17" s="7">
        <v>5</v>
      </c>
      <c r="D17" s="8">
        <v>1</v>
      </c>
      <c r="E17" s="9" t="s">
        <v>14</v>
      </c>
      <c r="F17" s="7">
        <v>5</v>
      </c>
      <c r="G17" s="8">
        <v>2.4</v>
      </c>
      <c r="H17" s="9" t="s">
        <v>14</v>
      </c>
      <c r="I17" s="7">
        <v>5</v>
      </c>
      <c r="J17" s="8">
        <v>1.99</v>
      </c>
      <c r="K17" s="9" t="s">
        <v>14</v>
      </c>
      <c r="L17" s="1"/>
      <c r="M17" s="1"/>
      <c r="N17" s="5"/>
      <c r="O17" s="8"/>
    </row>
    <row r="18" spans="1:15" ht="15.75" x14ac:dyDescent="0.25">
      <c r="A18" s="1"/>
      <c r="B18" s="1"/>
      <c r="C18" s="7">
        <v>6</v>
      </c>
      <c r="D18" s="8">
        <v>1.01</v>
      </c>
      <c r="E18" s="9" t="s">
        <v>14</v>
      </c>
      <c r="F18" s="7"/>
      <c r="G18" s="8"/>
      <c r="H18" s="9"/>
      <c r="I18" s="7">
        <v>6</v>
      </c>
      <c r="J18" s="8">
        <v>1.94</v>
      </c>
      <c r="K18" s="9" t="s">
        <v>14</v>
      </c>
      <c r="L18" s="1"/>
      <c r="M18" s="1"/>
      <c r="N18" s="1"/>
      <c r="O18" s="8"/>
    </row>
    <row r="19" spans="1:15" ht="15.75" x14ac:dyDescent="0.25">
      <c r="A19" s="1"/>
      <c r="B19" s="1"/>
      <c r="C19" s="7">
        <v>7</v>
      </c>
      <c r="D19" s="8">
        <v>0.97</v>
      </c>
      <c r="E19" s="9" t="s">
        <v>14</v>
      </c>
      <c r="F19" s="7"/>
      <c r="G19" s="8"/>
      <c r="H19" s="9"/>
      <c r="I19" s="7">
        <v>7</v>
      </c>
      <c r="J19" s="8">
        <v>1.96</v>
      </c>
      <c r="K19" s="9" t="s">
        <v>14</v>
      </c>
      <c r="L19" s="1"/>
      <c r="M19" s="1"/>
      <c r="N19" s="1"/>
      <c r="O19" s="8"/>
    </row>
    <row r="20" spans="1:15" ht="15.75" x14ac:dyDescent="0.25">
      <c r="A20" s="1"/>
      <c r="B20" s="1"/>
      <c r="C20" s="7">
        <v>9</v>
      </c>
      <c r="D20" s="8">
        <v>1.03</v>
      </c>
      <c r="E20" s="9" t="s">
        <v>14</v>
      </c>
      <c r="F20" s="7"/>
      <c r="G20" s="8"/>
      <c r="H20" s="9"/>
      <c r="I20" s="7">
        <v>9</v>
      </c>
      <c r="J20" s="8">
        <v>1.91</v>
      </c>
      <c r="K20" s="9" t="s">
        <v>14</v>
      </c>
      <c r="L20" s="1"/>
      <c r="M20" s="1"/>
      <c r="N20" s="1"/>
      <c r="O20" s="8"/>
    </row>
    <row r="21" spans="1:15" ht="15.75" x14ac:dyDescent="0.25">
      <c r="A21" s="1"/>
      <c r="B21" s="1"/>
      <c r="C21" s="7">
        <v>8</v>
      </c>
      <c r="D21" s="8">
        <v>1</v>
      </c>
      <c r="E21" s="9" t="s">
        <v>14</v>
      </c>
      <c r="F21" s="7"/>
      <c r="G21" s="8"/>
      <c r="H21" s="9"/>
      <c r="I21" s="7">
        <v>8</v>
      </c>
      <c r="J21" s="8">
        <v>1.95</v>
      </c>
      <c r="K21" s="9" t="s">
        <v>14</v>
      </c>
      <c r="L21" s="1"/>
      <c r="M21" s="1"/>
      <c r="N21" s="1"/>
      <c r="O21" s="8"/>
    </row>
    <row r="22" spans="1:15" ht="15.75" customHeight="1" x14ac:dyDescent="0.25">
      <c r="A22" s="1"/>
      <c r="B22" s="1"/>
      <c r="C22" s="7">
        <v>10</v>
      </c>
      <c r="D22" s="8">
        <v>0.99</v>
      </c>
      <c r="E22" s="9" t="s">
        <v>14</v>
      </c>
      <c r="F22" s="7"/>
      <c r="G22" s="8"/>
      <c r="H22" s="9"/>
      <c r="I22" s="7">
        <v>10</v>
      </c>
      <c r="J22" s="8">
        <v>1.97</v>
      </c>
      <c r="K22" s="9" t="s">
        <v>14</v>
      </c>
      <c r="L22" s="1"/>
      <c r="M22" s="1"/>
      <c r="N22" s="1"/>
      <c r="O22" s="8"/>
    </row>
    <row r="23" spans="1:15" ht="15.75" customHeight="1" x14ac:dyDescent="0.25">
      <c r="A23" s="1"/>
      <c r="B23" s="1"/>
      <c r="C23" s="10"/>
      <c r="D23" s="11"/>
      <c r="E23" s="12"/>
      <c r="F23" s="10"/>
      <c r="G23" s="13"/>
      <c r="H23" s="12"/>
      <c r="I23" s="10"/>
      <c r="J23" s="13"/>
      <c r="K23" s="12"/>
      <c r="L23" s="1"/>
      <c r="M23" s="1"/>
      <c r="N23" s="1"/>
      <c r="O23" s="8"/>
    </row>
    <row r="24" spans="1:15" ht="15.75" customHeight="1" x14ac:dyDescent="0.25">
      <c r="A24" s="1"/>
      <c r="B24" s="1"/>
      <c r="C24" s="14" t="s">
        <v>15</v>
      </c>
      <c r="D24" s="15">
        <f>SUM(D13:D22)/10</f>
        <v>1.004</v>
      </c>
      <c r="E24" s="16" t="s">
        <v>14</v>
      </c>
      <c r="F24" s="17" t="s">
        <v>16</v>
      </c>
      <c r="G24" s="18">
        <f>SUM(G13:G22)/5</f>
        <v>2.476</v>
      </c>
      <c r="H24" s="19" t="s">
        <v>14</v>
      </c>
      <c r="I24" s="17" t="s">
        <v>17</v>
      </c>
      <c r="J24" s="18">
        <f>SUM(J13:J22)/10</f>
        <v>1.9469999999999998</v>
      </c>
      <c r="K24" s="19" t="s">
        <v>14</v>
      </c>
      <c r="L24" s="1"/>
      <c r="M24" s="1"/>
      <c r="N24" s="5"/>
      <c r="O24" s="8"/>
    </row>
    <row r="25" spans="1:15" ht="15.75" customHeight="1" x14ac:dyDescent="0.25">
      <c r="A25" s="1"/>
      <c r="B25" s="1"/>
      <c r="C25" s="20" t="s">
        <v>18</v>
      </c>
      <c r="D25" s="21" t="s">
        <v>184</v>
      </c>
      <c r="E25" s="22"/>
      <c r="F25" s="20" t="s">
        <v>18</v>
      </c>
      <c r="G25" s="21" t="s">
        <v>198</v>
      </c>
      <c r="H25" s="22"/>
      <c r="I25" s="20" t="s">
        <v>18</v>
      </c>
      <c r="J25" s="21" t="s">
        <v>185</v>
      </c>
      <c r="K25" s="22"/>
      <c r="L25" s="1"/>
      <c r="M25" s="1"/>
      <c r="N25" s="5"/>
      <c r="O25" s="8"/>
    </row>
    <row r="26" spans="1:15" ht="15.75" customHeight="1" x14ac:dyDescent="0.25">
      <c r="A26" s="1"/>
      <c r="B26" s="1"/>
      <c r="C26" s="23" t="s">
        <v>19</v>
      </c>
      <c r="D26" s="24" t="s">
        <v>188</v>
      </c>
      <c r="E26" s="25"/>
      <c r="F26" s="23" t="s">
        <v>19</v>
      </c>
      <c r="G26" s="24" t="s">
        <v>187</v>
      </c>
      <c r="H26" s="25"/>
      <c r="I26" s="23" t="s">
        <v>19</v>
      </c>
      <c r="J26" s="24" t="s">
        <v>186</v>
      </c>
      <c r="K26" s="25"/>
      <c r="L26" s="1"/>
      <c r="M26" s="1"/>
      <c r="N26" s="5"/>
      <c r="O26" s="8"/>
    </row>
    <row r="27" spans="1:15" ht="15.75" customHeight="1" x14ac:dyDescent="0.25">
      <c r="A27" s="1"/>
      <c r="B27" s="1"/>
      <c r="C27" s="143" t="s">
        <v>20</v>
      </c>
      <c r="D27" s="145">
        <f>D24</f>
        <v>1.004</v>
      </c>
      <c r="E27" s="147" t="s">
        <v>21</v>
      </c>
      <c r="F27" s="143" t="s">
        <v>20</v>
      </c>
      <c r="G27" s="145">
        <f>G24</f>
        <v>2.476</v>
      </c>
      <c r="H27" s="147" t="s">
        <v>21</v>
      </c>
      <c r="I27" s="143" t="s">
        <v>20</v>
      </c>
      <c r="J27" s="145">
        <f>J24</f>
        <v>1.9469999999999998</v>
      </c>
      <c r="K27" s="147" t="s">
        <v>21</v>
      </c>
      <c r="L27" s="1"/>
      <c r="M27" s="1"/>
      <c r="N27" s="1"/>
      <c r="O27" s="1"/>
    </row>
    <row r="28" spans="1:15" ht="15.75" customHeight="1" x14ac:dyDescent="0.25">
      <c r="A28" s="1"/>
      <c r="B28" s="1"/>
      <c r="C28" s="144"/>
      <c r="D28" s="146"/>
      <c r="E28" s="148"/>
      <c r="F28" s="144"/>
      <c r="G28" s="146"/>
      <c r="H28" s="148"/>
      <c r="I28" s="144"/>
      <c r="J28" s="146"/>
      <c r="K28" s="148"/>
      <c r="L28" s="1"/>
      <c r="M28" s="1"/>
      <c r="N28" s="1"/>
      <c r="O28" s="1"/>
    </row>
    <row r="29" spans="1:15" ht="15.75" customHeight="1" x14ac:dyDescent="0.25">
      <c r="A29" s="1"/>
      <c r="B29" s="1"/>
      <c r="C29" s="2"/>
      <c r="D29" s="1"/>
      <c r="E29" s="1"/>
      <c r="F29" s="2"/>
      <c r="G29" s="1"/>
      <c r="H29" s="1"/>
      <c r="I29" s="2"/>
      <c r="J29" s="1"/>
      <c r="K29" s="1"/>
      <c r="L29" s="1"/>
      <c r="M29" s="1"/>
      <c r="N29" s="1"/>
      <c r="O29" s="1"/>
    </row>
    <row r="30" spans="1:15" ht="15.75" customHeight="1" x14ac:dyDescent="0.25">
      <c r="A30" s="1"/>
      <c r="B30" s="1"/>
      <c r="C30" s="27" t="s">
        <v>22</v>
      </c>
      <c r="D30" s="28"/>
      <c r="E30" s="28"/>
      <c r="F30" s="29"/>
      <c r="G30" s="30">
        <f>D27+G27+J27</f>
        <v>5.4269999999999996</v>
      </c>
      <c r="H30" s="31" t="s">
        <v>21</v>
      </c>
      <c r="I30" s="32" t="s">
        <v>23</v>
      </c>
      <c r="J30" s="28"/>
      <c r="K30" s="33"/>
      <c r="L30" s="1"/>
      <c r="M30" s="1"/>
      <c r="N30" s="1"/>
      <c r="O30" s="1"/>
    </row>
    <row r="31" spans="1:15" ht="15.75" customHeight="1" x14ac:dyDescent="0.25">
      <c r="A31" s="1"/>
      <c r="B31" s="1"/>
      <c r="C31" s="34" t="s">
        <v>24</v>
      </c>
      <c r="D31" s="35"/>
      <c r="E31" s="1"/>
      <c r="F31" s="1"/>
      <c r="G31" s="8"/>
      <c r="H31" s="1"/>
      <c r="I31" s="2"/>
      <c r="J31" s="8"/>
      <c r="K31" s="1"/>
      <c r="L31" s="1"/>
      <c r="M31" s="1"/>
      <c r="N31" s="1"/>
      <c r="O31" s="1"/>
    </row>
    <row r="32" spans="1:15" ht="15.75" customHeight="1" x14ac:dyDescent="0.25">
      <c r="A32" s="1"/>
      <c r="B32" s="1"/>
      <c r="C32" s="2"/>
      <c r="D32" s="35"/>
      <c r="E32" s="1"/>
      <c r="F32" s="1"/>
      <c r="G32" s="8"/>
      <c r="H32" s="1"/>
      <c r="I32" s="2"/>
      <c r="J32" s="8"/>
      <c r="K32" s="1"/>
      <c r="L32" s="1"/>
      <c r="M32" s="1"/>
      <c r="N32" s="1"/>
      <c r="O32" s="1"/>
    </row>
    <row r="33" spans="1:15" ht="15.75" customHeight="1" x14ac:dyDescent="0.25">
      <c r="A33" s="1"/>
      <c r="B33" s="1"/>
      <c r="C33" s="2"/>
      <c r="D33" s="35"/>
      <c r="E33" s="1"/>
      <c r="F33" s="1"/>
      <c r="G33" s="8"/>
      <c r="H33" s="1"/>
      <c r="I33" s="2"/>
      <c r="J33" s="8"/>
      <c r="K33" s="1"/>
      <c r="L33" s="1"/>
      <c r="M33" s="1"/>
      <c r="N33" s="1"/>
      <c r="O33" s="1"/>
    </row>
    <row r="34" spans="1:15" ht="15.75" customHeight="1" x14ac:dyDescent="0.25">
      <c r="A34" s="1"/>
      <c r="B34" s="3" t="s">
        <v>25</v>
      </c>
      <c r="C34" s="4" t="s">
        <v>26</v>
      </c>
      <c r="D34" s="35"/>
      <c r="E34" s="1"/>
      <c r="F34" s="1"/>
      <c r="G34" s="8"/>
      <c r="H34" s="1"/>
      <c r="I34" s="2"/>
      <c r="J34" s="8"/>
      <c r="K34" s="1"/>
      <c r="L34" s="1"/>
      <c r="M34" s="1"/>
      <c r="N34" s="1"/>
      <c r="O34" s="1"/>
    </row>
    <row r="35" spans="1:15" ht="15.75" customHeight="1" x14ac:dyDescent="0.25">
      <c r="A35" s="1"/>
      <c r="B35" s="1"/>
      <c r="C35" s="2"/>
      <c r="D35" s="35"/>
      <c r="E35" s="1"/>
      <c r="F35" s="1"/>
      <c r="G35" s="8"/>
      <c r="H35" s="1"/>
      <c r="I35" s="2"/>
      <c r="J35" s="8"/>
      <c r="K35" s="1"/>
      <c r="L35" s="1"/>
      <c r="M35" s="1"/>
      <c r="N35" s="1"/>
      <c r="O35" s="1"/>
    </row>
    <row r="36" spans="1:15" ht="15.75" customHeight="1" x14ac:dyDescent="0.25">
      <c r="A36" s="1"/>
      <c r="B36" s="1"/>
      <c r="C36" s="149" t="s">
        <v>27</v>
      </c>
      <c r="D36" s="150"/>
      <c r="E36" s="151"/>
      <c r="F36" s="149" t="s">
        <v>28</v>
      </c>
      <c r="G36" s="150"/>
      <c r="H36" s="151"/>
      <c r="I36" s="149" t="s">
        <v>29</v>
      </c>
      <c r="J36" s="150"/>
      <c r="K36" s="151"/>
      <c r="L36" s="1"/>
      <c r="M36" s="1"/>
      <c r="N36" s="1"/>
      <c r="O36" s="1"/>
    </row>
    <row r="37" spans="1:15" ht="15.75" customHeight="1" x14ac:dyDescent="0.25">
      <c r="A37" s="1"/>
      <c r="B37" s="1"/>
      <c r="C37" s="172" t="s">
        <v>30</v>
      </c>
      <c r="D37" s="162"/>
      <c r="E37" s="164"/>
      <c r="F37" s="172" t="s">
        <v>30</v>
      </c>
      <c r="G37" s="162"/>
      <c r="H37" s="164"/>
      <c r="I37" s="172" t="s">
        <v>30</v>
      </c>
      <c r="J37" s="162"/>
      <c r="K37" s="164"/>
      <c r="L37" s="1"/>
      <c r="M37" s="1"/>
      <c r="N37" s="1"/>
      <c r="O37" s="1"/>
    </row>
    <row r="38" spans="1:15" ht="15.75" customHeight="1" x14ac:dyDescent="0.25">
      <c r="A38" s="1"/>
      <c r="B38" s="1"/>
      <c r="C38" s="36"/>
      <c r="D38" s="37" t="s">
        <v>31</v>
      </c>
      <c r="E38" s="38">
        <f>MAX(D13:D22)</f>
        <v>1.05</v>
      </c>
      <c r="F38" s="36"/>
      <c r="G38" s="37" t="s">
        <v>31</v>
      </c>
      <c r="H38" s="38">
        <f>MAX(G13:G22)</f>
        <v>2.5499999999999998</v>
      </c>
      <c r="I38" s="36"/>
      <c r="J38" s="37" t="s">
        <v>31</v>
      </c>
      <c r="K38" s="38">
        <f>MAX(J13:J22)</f>
        <v>1.99</v>
      </c>
      <c r="L38" s="1"/>
      <c r="M38" s="1"/>
      <c r="N38" s="1"/>
      <c r="O38" s="1"/>
    </row>
    <row r="39" spans="1:15" ht="15.75" customHeight="1" x14ac:dyDescent="0.25">
      <c r="A39" s="1"/>
      <c r="B39" s="1"/>
      <c r="C39" s="36"/>
      <c r="D39" s="37" t="s">
        <v>32</v>
      </c>
      <c r="E39" s="38">
        <f>MIN(D13:D22)</f>
        <v>0.97</v>
      </c>
      <c r="F39" s="36"/>
      <c r="G39" s="37" t="s">
        <v>32</v>
      </c>
      <c r="H39" s="38">
        <f>MIN(G13:G22)</f>
        <v>2.4</v>
      </c>
      <c r="I39" s="36"/>
      <c r="J39" s="37" t="s">
        <v>32</v>
      </c>
      <c r="K39" s="38">
        <f>MIN(J13:J22)</f>
        <v>1.9</v>
      </c>
      <c r="L39" s="1"/>
      <c r="M39" s="1"/>
      <c r="N39" s="1"/>
      <c r="O39" s="1"/>
    </row>
    <row r="40" spans="1:15" ht="15.75" customHeight="1" x14ac:dyDescent="0.25">
      <c r="A40" s="1"/>
      <c r="B40" s="1"/>
      <c r="C40" s="10"/>
      <c r="D40" s="39" t="s">
        <v>33</v>
      </c>
      <c r="E40" s="40">
        <f>E38-E39</f>
        <v>8.0000000000000071E-2</v>
      </c>
      <c r="F40" s="10"/>
      <c r="G40" s="39" t="s">
        <v>33</v>
      </c>
      <c r="H40" s="40">
        <f>H38-H39</f>
        <v>0.14999999999999991</v>
      </c>
      <c r="I40" s="10"/>
      <c r="J40" s="39" t="s">
        <v>33</v>
      </c>
      <c r="K40" s="40">
        <f>K38-K39</f>
        <v>9.000000000000008E-2</v>
      </c>
      <c r="L40" s="1"/>
      <c r="M40" s="1"/>
      <c r="N40" s="1"/>
      <c r="O40" s="1"/>
    </row>
    <row r="41" spans="1:15" ht="15.75" customHeight="1" x14ac:dyDescent="0.25">
      <c r="A41" s="1"/>
      <c r="B41" s="1"/>
      <c r="C41" s="140" t="s">
        <v>34</v>
      </c>
      <c r="D41" s="141"/>
      <c r="E41" s="142"/>
      <c r="F41" s="140" t="s">
        <v>34</v>
      </c>
      <c r="G41" s="141"/>
      <c r="H41" s="142"/>
      <c r="I41" s="140" t="s">
        <v>34</v>
      </c>
      <c r="J41" s="141"/>
      <c r="K41" s="142"/>
      <c r="L41" s="1"/>
      <c r="M41" s="1"/>
      <c r="N41" s="1"/>
      <c r="O41" s="1"/>
    </row>
    <row r="42" spans="1:15" ht="31.5" customHeight="1" x14ac:dyDescent="0.25">
      <c r="A42" s="1"/>
      <c r="B42" s="1"/>
      <c r="C42" s="163" t="s">
        <v>35</v>
      </c>
      <c r="D42" s="162"/>
      <c r="E42" s="164"/>
      <c r="F42" s="163" t="s">
        <v>36</v>
      </c>
      <c r="G42" s="162"/>
      <c r="H42" s="164"/>
      <c r="I42" s="163" t="s">
        <v>37</v>
      </c>
      <c r="J42" s="162"/>
      <c r="K42" s="164"/>
      <c r="L42" s="1"/>
      <c r="M42" s="1"/>
      <c r="N42" s="1"/>
      <c r="O42" s="1"/>
    </row>
    <row r="43" spans="1:15" ht="15.75" customHeight="1" x14ac:dyDescent="0.25">
      <c r="A43" s="1"/>
      <c r="B43" s="1"/>
      <c r="C43" s="36"/>
      <c r="D43" s="35"/>
      <c r="E43" s="9"/>
      <c r="F43" s="41"/>
      <c r="G43" s="8"/>
      <c r="H43" s="9"/>
      <c r="I43" s="36"/>
      <c r="J43" s="8"/>
      <c r="K43" s="9"/>
      <c r="L43" s="1"/>
      <c r="M43" s="1"/>
      <c r="N43" s="1"/>
      <c r="O43" s="1"/>
    </row>
    <row r="44" spans="1:15" ht="15.75" customHeight="1" x14ac:dyDescent="0.25">
      <c r="A44" s="1"/>
      <c r="B44" s="1"/>
      <c r="C44" s="36"/>
      <c r="D44" s="35"/>
      <c r="E44" s="9"/>
      <c r="F44" s="41"/>
      <c r="G44" s="8"/>
      <c r="H44" s="9"/>
      <c r="I44" s="36"/>
      <c r="J44" s="8"/>
      <c r="K44" s="9"/>
      <c r="L44" s="1"/>
      <c r="M44" s="1"/>
      <c r="N44" s="1"/>
      <c r="O44" s="1"/>
    </row>
    <row r="45" spans="1:15" ht="15.75" customHeight="1" x14ac:dyDescent="0.25">
      <c r="A45" s="1"/>
      <c r="B45" s="1"/>
      <c r="C45" s="36"/>
      <c r="D45" s="42" t="s">
        <v>38</v>
      </c>
      <c r="E45" s="43">
        <f>E40</f>
        <v>8.0000000000000071E-2</v>
      </c>
      <c r="F45" s="41"/>
      <c r="G45" s="42" t="s">
        <v>38</v>
      </c>
      <c r="H45" s="43">
        <f>H40</f>
        <v>0.14999999999999991</v>
      </c>
      <c r="I45" s="36"/>
      <c r="J45" s="42" t="s">
        <v>38</v>
      </c>
      <c r="K45" s="43">
        <f>K40</f>
        <v>9.000000000000008E-2</v>
      </c>
      <c r="L45" s="1"/>
      <c r="M45" s="1"/>
      <c r="N45" s="1"/>
      <c r="O45" s="1"/>
    </row>
    <row r="46" spans="1:15" ht="15.75" customHeight="1" x14ac:dyDescent="0.25">
      <c r="A46" s="1"/>
      <c r="B46" s="1"/>
      <c r="C46" s="36"/>
      <c r="D46" s="42" t="s">
        <v>39</v>
      </c>
      <c r="E46" s="44">
        <f>D27</f>
        <v>1.004</v>
      </c>
      <c r="F46" s="41"/>
      <c r="G46" s="42" t="s">
        <v>39</v>
      </c>
      <c r="H46" s="44">
        <f>G27</f>
        <v>2.476</v>
      </c>
      <c r="I46" s="36"/>
      <c r="J46" s="42" t="s">
        <v>39</v>
      </c>
      <c r="K46" s="44">
        <f>J27</f>
        <v>1.9469999999999998</v>
      </c>
      <c r="L46" s="1"/>
      <c r="M46" s="1"/>
      <c r="N46" s="1"/>
      <c r="O46" s="1"/>
    </row>
    <row r="47" spans="1:15" ht="15.75" customHeight="1" x14ac:dyDescent="0.25">
      <c r="A47" s="1"/>
      <c r="B47" s="1"/>
      <c r="C47" s="36"/>
      <c r="D47" s="35"/>
      <c r="E47" s="9"/>
      <c r="F47" s="41"/>
      <c r="G47" s="8"/>
      <c r="H47" s="9"/>
      <c r="I47" s="36"/>
      <c r="J47" s="8"/>
      <c r="K47" s="9"/>
      <c r="L47" s="1"/>
      <c r="M47" s="1"/>
      <c r="N47" s="1"/>
      <c r="O47" s="1"/>
    </row>
    <row r="48" spans="1:15" ht="15.75" customHeight="1" x14ac:dyDescent="0.25">
      <c r="A48" s="1"/>
      <c r="B48" s="1"/>
      <c r="C48" s="36"/>
      <c r="D48" s="45" t="s">
        <v>34</v>
      </c>
      <c r="E48" s="46">
        <f>E45/E46</f>
        <v>7.9681274900398474E-2</v>
      </c>
      <c r="F48" s="41"/>
      <c r="G48" s="45" t="s">
        <v>34</v>
      </c>
      <c r="H48" s="46">
        <f>H45/H46</f>
        <v>6.0581583198707559E-2</v>
      </c>
      <c r="I48" s="36"/>
      <c r="J48" s="45" t="s">
        <v>34</v>
      </c>
      <c r="K48" s="46">
        <f>K45/K46</f>
        <v>4.6224961479198814E-2</v>
      </c>
      <c r="L48" s="1"/>
      <c r="M48" s="1"/>
      <c r="N48" s="1"/>
      <c r="O48" s="1"/>
    </row>
    <row r="49" spans="1:15" ht="15.75" customHeight="1" x14ac:dyDescent="0.25">
      <c r="A49" s="1"/>
      <c r="B49" s="1"/>
      <c r="C49" s="10"/>
      <c r="D49" s="47"/>
      <c r="E49" s="12"/>
      <c r="F49" s="48"/>
      <c r="G49" s="11"/>
      <c r="H49" s="12"/>
      <c r="I49" s="10"/>
      <c r="J49" s="11"/>
      <c r="K49" s="12"/>
      <c r="L49" s="1"/>
      <c r="M49" s="1"/>
      <c r="N49" s="1"/>
      <c r="O49" s="1"/>
    </row>
    <row r="50" spans="1:15" ht="15.75" customHeight="1" x14ac:dyDescent="0.25">
      <c r="A50" s="1"/>
      <c r="B50" s="1"/>
      <c r="C50" s="2"/>
      <c r="D50" s="35"/>
      <c r="E50" s="1"/>
      <c r="F50" s="1"/>
      <c r="G50" s="8"/>
      <c r="H50" s="1"/>
      <c r="I50" s="2"/>
      <c r="J50" s="8"/>
      <c r="K50" s="1"/>
      <c r="L50" s="1"/>
      <c r="M50" s="1"/>
      <c r="N50" s="1"/>
      <c r="O50" s="1"/>
    </row>
    <row r="51" spans="1:15" ht="15.75" customHeight="1" x14ac:dyDescent="0.25">
      <c r="A51" s="1"/>
      <c r="B51" s="1"/>
      <c r="C51" s="2"/>
      <c r="D51" s="35"/>
      <c r="E51" s="1"/>
      <c r="F51" s="1"/>
      <c r="G51" s="8"/>
      <c r="H51" s="1"/>
      <c r="I51" s="2"/>
      <c r="J51" s="8"/>
      <c r="K51" s="1"/>
      <c r="L51" s="1"/>
      <c r="M51" s="1"/>
      <c r="N51" s="1"/>
      <c r="O51" s="1"/>
    </row>
    <row r="52" spans="1:15" ht="15.75" customHeight="1" x14ac:dyDescent="0.25">
      <c r="A52" s="1"/>
      <c r="B52" s="3" t="s">
        <v>40</v>
      </c>
      <c r="C52" s="161" t="s">
        <v>41</v>
      </c>
      <c r="D52" s="162"/>
      <c r="E52" s="162"/>
      <c r="F52" s="162"/>
      <c r="G52" s="162"/>
      <c r="H52" s="162"/>
      <c r="I52" s="162"/>
      <c r="J52" s="162"/>
      <c r="K52" s="162"/>
      <c r="L52" s="1"/>
      <c r="M52" s="1"/>
      <c r="N52" s="1"/>
      <c r="O52" s="1"/>
    </row>
    <row r="53" spans="1:15" ht="15.75" customHeight="1" x14ac:dyDescent="0.25">
      <c r="A53" s="1"/>
      <c r="B53" s="1"/>
      <c r="C53" s="162"/>
      <c r="D53" s="162"/>
      <c r="E53" s="162"/>
      <c r="F53" s="162"/>
      <c r="G53" s="162"/>
      <c r="H53" s="162"/>
      <c r="I53" s="162"/>
      <c r="J53" s="162"/>
      <c r="K53" s="162"/>
      <c r="L53" s="1"/>
      <c r="M53" s="1"/>
      <c r="N53" s="1"/>
      <c r="O53" s="1"/>
    </row>
    <row r="54" spans="1:15" ht="15.75" customHeight="1" x14ac:dyDescent="0.25">
      <c r="A54" s="1"/>
      <c r="B54" s="1"/>
      <c r="C54" s="2"/>
      <c r="D54" s="1"/>
      <c r="E54" s="1"/>
      <c r="F54" s="2"/>
      <c r="G54" s="1"/>
      <c r="H54" s="1"/>
      <c r="I54" s="2"/>
      <c r="J54" s="1"/>
      <c r="K54" s="1"/>
      <c r="L54" s="1"/>
      <c r="M54" s="1"/>
      <c r="N54" s="1"/>
      <c r="O54" s="1"/>
    </row>
    <row r="55" spans="1:15" ht="15.75" customHeight="1" x14ac:dyDescent="0.25">
      <c r="A55" s="1"/>
      <c r="B55" s="1"/>
      <c r="C55" s="2"/>
      <c r="D55" s="1"/>
      <c r="E55" s="1"/>
      <c r="F55" s="2"/>
      <c r="G55" s="1"/>
      <c r="H55" s="166" t="s">
        <v>42</v>
      </c>
      <c r="I55" s="156"/>
      <c r="J55" s="156"/>
      <c r="K55" s="156"/>
      <c r="L55" s="156"/>
      <c r="M55" s="156"/>
      <c r="N55" s="156"/>
      <c r="O55" s="157"/>
    </row>
    <row r="56" spans="1:15" ht="15.75" customHeight="1" x14ac:dyDescent="0.25">
      <c r="A56" s="1"/>
      <c r="B56" s="1"/>
      <c r="C56" s="49" t="s">
        <v>43</v>
      </c>
      <c r="D56" s="49" t="s">
        <v>34</v>
      </c>
      <c r="E56" s="49" t="s">
        <v>44</v>
      </c>
      <c r="F56" s="50" t="s">
        <v>45</v>
      </c>
      <c r="G56" s="1"/>
      <c r="H56" s="167"/>
      <c r="I56" s="162"/>
      <c r="J56" s="162"/>
      <c r="K56" s="162"/>
      <c r="L56" s="162"/>
      <c r="M56" s="162"/>
      <c r="N56" s="162"/>
      <c r="O56" s="168"/>
    </row>
    <row r="57" spans="1:15" ht="15.75" customHeight="1" x14ac:dyDescent="0.25">
      <c r="A57" s="1"/>
      <c r="B57" s="1"/>
      <c r="C57" s="51" t="s">
        <v>9</v>
      </c>
      <c r="D57" s="52">
        <f>E48</f>
        <v>7.9681274900398474E-2</v>
      </c>
      <c r="E57" s="53">
        <v>0.1</v>
      </c>
      <c r="F57" s="54">
        <v>10</v>
      </c>
      <c r="G57" s="1"/>
      <c r="H57" s="167"/>
      <c r="I57" s="162"/>
      <c r="J57" s="162"/>
      <c r="K57" s="162"/>
      <c r="L57" s="162"/>
      <c r="M57" s="162"/>
      <c r="N57" s="162"/>
      <c r="O57" s="168"/>
    </row>
    <row r="58" spans="1:15" ht="15.75" customHeight="1" x14ac:dyDescent="0.25">
      <c r="A58" s="1"/>
      <c r="B58" s="1"/>
      <c r="C58" s="51" t="s">
        <v>10</v>
      </c>
      <c r="D58" s="52">
        <f>H48</f>
        <v>6.0581583198707559E-2</v>
      </c>
      <c r="E58" s="53">
        <v>0.1</v>
      </c>
      <c r="F58" s="54">
        <v>5</v>
      </c>
      <c r="G58" s="1"/>
      <c r="H58" s="167"/>
      <c r="I58" s="162"/>
      <c r="J58" s="162"/>
      <c r="K58" s="162"/>
      <c r="L58" s="162"/>
      <c r="M58" s="162"/>
      <c r="N58" s="162"/>
      <c r="O58" s="168"/>
    </row>
    <row r="59" spans="1:15" ht="15.75" customHeight="1" x14ac:dyDescent="0.25">
      <c r="A59" s="1"/>
      <c r="B59" s="1"/>
      <c r="C59" s="51" t="s">
        <v>11</v>
      </c>
      <c r="D59" s="52">
        <f>K48</f>
        <v>4.6224961479198814E-2</v>
      </c>
      <c r="E59" s="53">
        <v>0.1</v>
      </c>
      <c r="F59" s="54">
        <v>10</v>
      </c>
      <c r="G59" s="1"/>
      <c r="H59" s="158"/>
      <c r="I59" s="159"/>
      <c r="J59" s="159"/>
      <c r="K59" s="159"/>
      <c r="L59" s="159"/>
      <c r="M59" s="159"/>
      <c r="N59" s="159"/>
      <c r="O59" s="160"/>
    </row>
    <row r="60" spans="1:15" ht="15.75" customHeight="1" x14ac:dyDescent="0.25">
      <c r="A60" s="1"/>
      <c r="B60" s="1"/>
      <c r="C60" s="2"/>
      <c r="D60" s="1"/>
      <c r="E60" s="1"/>
      <c r="F60" s="2"/>
      <c r="G60" s="1"/>
      <c r="H60" s="1"/>
      <c r="I60" s="2"/>
      <c r="J60" s="1"/>
      <c r="K60" s="1"/>
      <c r="L60" s="1"/>
      <c r="M60" s="1"/>
      <c r="N60" s="1"/>
      <c r="O60" s="1"/>
    </row>
    <row r="61" spans="1:15" ht="15.75" customHeight="1" x14ac:dyDescent="0.25">
      <c r="A61" s="1"/>
      <c r="B61" s="55"/>
      <c r="C61" s="2"/>
      <c r="D61" s="1"/>
      <c r="E61" s="1"/>
      <c r="F61" s="2"/>
      <c r="G61" s="1"/>
      <c r="H61" s="1"/>
      <c r="I61" s="2"/>
      <c r="J61" s="1"/>
      <c r="K61" s="1"/>
      <c r="L61" s="1"/>
      <c r="M61" s="1"/>
      <c r="N61" s="1"/>
      <c r="O61" s="1"/>
    </row>
    <row r="62" spans="1:15" ht="15.75" customHeight="1" x14ac:dyDescent="0.25">
      <c r="A62" s="1"/>
      <c r="B62" s="1"/>
      <c r="C62" s="169" t="s">
        <v>9</v>
      </c>
      <c r="D62" s="170"/>
      <c r="E62" s="171"/>
      <c r="F62" s="169" t="s">
        <v>10</v>
      </c>
      <c r="G62" s="170"/>
      <c r="H62" s="171"/>
      <c r="I62" s="169" t="s">
        <v>11</v>
      </c>
      <c r="J62" s="170"/>
      <c r="K62" s="171"/>
      <c r="L62" s="1"/>
      <c r="M62" s="1"/>
      <c r="N62" s="1"/>
      <c r="O62" s="1"/>
    </row>
    <row r="63" spans="1:15" ht="15.75" customHeight="1" x14ac:dyDescent="0.25">
      <c r="A63" s="1"/>
      <c r="B63" s="1"/>
      <c r="C63" s="137" t="s">
        <v>12</v>
      </c>
      <c r="D63" s="165" t="s">
        <v>13</v>
      </c>
      <c r="E63" s="142"/>
      <c r="F63" s="137" t="s">
        <v>12</v>
      </c>
      <c r="G63" s="165" t="s">
        <v>13</v>
      </c>
      <c r="H63" s="142"/>
      <c r="I63" s="137" t="s">
        <v>12</v>
      </c>
      <c r="J63" s="165" t="s">
        <v>13</v>
      </c>
      <c r="K63" s="142"/>
      <c r="L63" s="1"/>
      <c r="M63" s="1"/>
      <c r="N63" s="1"/>
      <c r="O63" s="1"/>
    </row>
    <row r="64" spans="1:15" ht="15.75" customHeight="1" x14ac:dyDescent="0.25">
      <c r="A64" s="1"/>
      <c r="B64" s="1"/>
      <c r="C64" s="7">
        <v>1</v>
      </c>
      <c r="D64" s="8">
        <v>0.98</v>
      </c>
      <c r="E64" s="9" t="s">
        <v>14</v>
      </c>
      <c r="F64" s="7">
        <v>1</v>
      </c>
      <c r="G64" s="8">
        <v>2.4500000000000002</v>
      </c>
      <c r="H64" s="9" t="s">
        <v>14</v>
      </c>
      <c r="I64" s="7">
        <v>1</v>
      </c>
      <c r="J64" s="8">
        <v>1.95</v>
      </c>
      <c r="K64" s="9" t="s">
        <v>14</v>
      </c>
      <c r="L64" s="1"/>
      <c r="M64" s="1"/>
      <c r="N64" s="1"/>
      <c r="O64" s="1"/>
    </row>
    <row r="65" spans="1:15" ht="15.75" customHeight="1" x14ac:dyDescent="0.25">
      <c r="A65" s="1"/>
      <c r="B65" s="1"/>
      <c r="C65" s="7">
        <v>2</v>
      </c>
      <c r="D65" s="8">
        <v>1.02</v>
      </c>
      <c r="E65" s="9" t="s">
        <v>14</v>
      </c>
      <c r="F65" s="7">
        <v>2</v>
      </c>
      <c r="G65" s="8">
        <v>2.5</v>
      </c>
      <c r="H65" s="9" t="s">
        <v>14</v>
      </c>
      <c r="I65" s="7">
        <v>2</v>
      </c>
      <c r="J65" s="8">
        <v>1.9</v>
      </c>
      <c r="K65" s="9" t="s">
        <v>14</v>
      </c>
      <c r="L65" s="1"/>
      <c r="M65" s="1"/>
      <c r="N65" s="1"/>
      <c r="O65" s="1"/>
    </row>
    <row r="66" spans="1:15" ht="15.75" customHeight="1" x14ac:dyDescent="0.25">
      <c r="A66" s="1"/>
      <c r="B66" s="1"/>
      <c r="C66" s="7">
        <v>3</v>
      </c>
      <c r="D66" s="8">
        <v>1.05</v>
      </c>
      <c r="E66" s="9" t="s">
        <v>14</v>
      </c>
      <c r="F66" s="7">
        <v>3</v>
      </c>
      <c r="G66" s="8">
        <v>2.48</v>
      </c>
      <c r="H66" s="9" t="s">
        <v>14</v>
      </c>
      <c r="I66" s="7">
        <v>3</v>
      </c>
      <c r="J66" s="8">
        <v>1.98</v>
      </c>
      <c r="K66" s="9" t="s">
        <v>14</v>
      </c>
      <c r="L66" s="1"/>
      <c r="M66" s="1"/>
      <c r="N66" s="1"/>
      <c r="O66" s="1"/>
    </row>
    <row r="67" spans="1:15" ht="15.75" customHeight="1" x14ac:dyDescent="0.25">
      <c r="A67" s="1"/>
      <c r="B67" s="1"/>
      <c r="C67" s="7">
        <v>4</v>
      </c>
      <c r="D67" s="8">
        <v>0.99</v>
      </c>
      <c r="E67" s="9" t="s">
        <v>14</v>
      </c>
      <c r="F67" s="7">
        <v>4</v>
      </c>
      <c r="G67" s="8">
        <v>2.5499999999999998</v>
      </c>
      <c r="H67" s="9" t="s">
        <v>14</v>
      </c>
      <c r="I67" s="7">
        <v>4</v>
      </c>
      <c r="J67" s="8">
        <v>1.92</v>
      </c>
      <c r="K67" s="9" t="s">
        <v>14</v>
      </c>
      <c r="L67" s="1"/>
      <c r="M67" s="1"/>
      <c r="N67" s="1"/>
      <c r="O67" s="1"/>
    </row>
    <row r="68" spans="1:15" ht="15.75" customHeight="1" x14ac:dyDescent="0.25">
      <c r="A68" s="1"/>
      <c r="B68" s="1"/>
      <c r="C68" s="7">
        <v>5</v>
      </c>
      <c r="D68" s="8">
        <v>1</v>
      </c>
      <c r="E68" s="9" t="s">
        <v>14</v>
      </c>
      <c r="F68" s="7">
        <v>5</v>
      </c>
      <c r="G68" s="8">
        <v>2.4</v>
      </c>
      <c r="H68" s="9" t="s">
        <v>14</v>
      </c>
      <c r="I68" s="7">
        <v>5</v>
      </c>
      <c r="J68" s="8">
        <v>1.99</v>
      </c>
      <c r="K68" s="9" t="s">
        <v>14</v>
      </c>
      <c r="L68" s="1"/>
      <c r="M68" s="1"/>
      <c r="N68" s="1"/>
      <c r="O68" s="1"/>
    </row>
    <row r="69" spans="1:15" ht="15.75" customHeight="1" x14ac:dyDescent="0.25">
      <c r="A69" s="1"/>
      <c r="B69" s="1"/>
      <c r="C69" s="7">
        <v>6</v>
      </c>
      <c r="D69" s="8">
        <v>1.01</v>
      </c>
      <c r="E69" s="9" t="s">
        <v>14</v>
      </c>
      <c r="F69" s="7"/>
      <c r="G69" s="8"/>
      <c r="H69" s="9"/>
      <c r="I69" s="7">
        <v>6</v>
      </c>
      <c r="J69" s="8">
        <v>1.94</v>
      </c>
      <c r="K69" s="9" t="s">
        <v>14</v>
      </c>
      <c r="L69" s="1"/>
      <c r="M69" s="1"/>
      <c r="N69" s="1"/>
      <c r="O69" s="1"/>
    </row>
    <row r="70" spans="1:15" ht="15" customHeight="1" x14ac:dyDescent="0.25">
      <c r="A70" s="1"/>
      <c r="B70" s="1"/>
      <c r="C70" s="7">
        <v>7</v>
      </c>
      <c r="D70" s="8">
        <v>0.97</v>
      </c>
      <c r="E70" s="9" t="s">
        <v>14</v>
      </c>
      <c r="F70" s="7"/>
      <c r="G70" s="8"/>
      <c r="H70" s="9"/>
      <c r="I70" s="7">
        <v>7</v>
      </c>
      <c r="J70" s="8">
        <v>1.96</v>
      </c>
      <c r="K70" s="9" t="s">
        <v>14</v>
      </c>
      <c r="L70" s="1"/>
      <c r="M70" s="1"/>
      <c r="N70" s="1"/>
      <c r="O70" s="1"/>
    </row>
    <row r="71" spans="1:15" ht="15.75" customHeight="1" x14ac:dyDescent="0.25">
      <c r="A71" s="1"/>
      <c r="B71" s="1"/>
      <c r="C71" s="7">
        <v>9</v>
      </c>
      <c r="D71" s="8">
        <v>1.03</v>
      </c>
      <c r="E71" s="9" t="s">
        <v>14</v>
      </c>
      <c r="F71" s="7"/>
      <c r="G71" s="8"/>
      <c r="H71" s="9"/>
      <c r="I71" s="7">
        <v>9</v>
      </c>
      <c r="J71" s="8">
        <v>1.91</v>
      </c>
      <c r="K71" s="9" t="s">
        <v>14</v>
      </c>
      <c r="L71" s="1"/>
      <c r="M71" s="1"/>
      <c r="N71" s="1"/>
      <c r="O71" s="1"/>
    </row>
    <row r="72" spans="1:15" ht="15.75" customHeight="1" x14ac:dyDescent="0.25">
      <c r="A72" s="1"/>
      <c r="B72" s="1"/>
      <c r="C72" s="7">
        <v>8</v>
      </c>
      <c r="D72" s="8">
        <v>1</v>
      </c>
      <c r="E72" s="9" t="s">
        <v>14</v>
      </c>
      <c r="F72" s="7"/>
      <c r="G72" s="8"/>
      <c r="H72" s="9"/>
      <c r="I72" s="7">
        <v>8</v>
      </c>
      <c r="J72" s="8">
        <v>1.95</v>
      </c>
      <c r="K72" s="9" t="s">
        <v>14</v>
      </c>
      <c r="L72" s="1"/>
      <c r="M72" s="1"/>
      <c r="N72" s="1"/>
      <c r="O72" s="1"/>
    </row>
    <row r="73" spans="1:15" ht="15.75" customHeight="1" x14ac:dyDescent="0.25">
      <c r="A73" s="1"/>
      <c r="B73" s="1"/>
      <c r="C73" s="7">
        <v>10</v>
      </c>
      <c r="D73" s="8">
        <v>0.99</v>
      </c>
      <c r="E73" s="9" t="s">
        <v>14</v>
      </c>
      <c r="F73" s="7"/>
      <c r="G73" s="8"/>
      <c r="H73" s="9"/>
      <c r="I73" s="7">
        <v>10</v>
      </c>
      <c r="J73" s="8">
        <v>1.97</v>
      </c>
      <c r="K73" s="9" t="s">
        <v>14</v>
      </c>
      <c r="L73" s="1"/>
      <c r="M73" s="1"/>
      <c r="N73" s="1"/>
      <c r="O73" s="1"/>
    </row>
    <row r="74" spans="1:15" ht="15.75" customHeight="1" x14ac:dyDescent="0.25">
      <c r="A74" s="1"/>
      <c r="B74" s="1"/>
      <c r="C74" s="10"/>
      <c r="D74" s="11"/>
      <c r="E74" s="12"/>
      <c r="F74" s="10"/>
      <c r="G74" s="13"/>
      <c r="H74" s="12"/>
      <c r="I74" s="10"/>
      <c r="J74" s="13"/>
      <c r="K74" s="12"/>
      <c r="L74" s="1"/>
      <c r="M74" s="1"/>
      <c r="N74" s="1"/>
      <c r="O74" s="1"/>
    </row>
    <row r="75" spans="1:15" ht="15.75" customHeight="1" x14ac:dyDescent="0.25">
      <c r="A75" s="1"/>
      <c r="B75" s="1"/>
      <c r="C75" s="14" t="s">
        <v>15</v>
      </c>
      <c r="D75" s="15">
        <f>SUM(D64:D73)/10</f>
        <v>1.004</v>
      </c>
      <c r="E75" s="16" t="s">
        <v>14</v>
      </c>
      <c r="F75" s="17" t="s">
        <v>16</v>
      </c>
      <c r="G75" s="18">
        <f>SUM(G64:G68)/5</f>
        <v>2.476</v>
      </c>
      <c r="H75" s="19" t="s">
        <v>14</v>
      </c>
      <c r="I75" s="17" t="s">
        <v>17</v>
      </c>
      <c r="J75" s="18">
        <f>SUM(J64:J73)/10</f>
        <v>1.9469999999999998</v>
      </c>
      <c r="K75" s="19" t="s">
        <v>14</v>
      </c>
      <c r="L75" s="1"/>
      <c r="M75" s="1"/>
      <c r="N75" s="1"/>
      <c r="O75" s="1"/>
    </row>
    <row r="76" spans="1:15" ht="15.75" customHeight="1" x14ac:dyDescent="0.25">
      <c r="A76" s="1"/>
      <c r="B76" s="1"/>
      <c r="C76" s="20" t="s">
        <v>18</v>
      </c>
      <c r="D76" s="21" t="s">
        <v>189</v>
      </c>
      <c r="E76" s="22"/>
      <c r="F76" s="20" t="s">
        <v>18</v>
      </c>
      <c r="G76" s="21" t="s">
        <v>196</v>
      </c>
      <c r="H76" s="22"/>
      <c r="I76" s="20" t="s">
        <v>18</v>
      </c>
      <c r="J76" s="21" t="s">
        <v>192</v>
      </c>
      <c r="K76" s="22"/>
      <c r="L76" s="1"/>
      <c r="M76" s="1"/>
      <c r="N76" s="1"/>
      <c r="O76" s="1"/>
    </row>
    <row r="77" spans="1:15" ht="15.75" customHeight="1" x14ac:dyDescent="0.25">
      <c r="A77" s="1"/>
      <c r="B77" s="1"/>
      <c r="C77" s="23" t="s">
        <v>19</v>
      </c>
      <c r="D77" s="24" t="s">
        <v>190</v>
      </c>
      <c r="E77" s="25"/>
      <c r="F77" s="23" t="s">
        <v>19</v>
      </c>
      <c r="G77" s="24" t="s">
        <v>191</v>
      </c>
      <c r="H77" s="25"/>
      <c r="I77" s="23" t="s">
        <v>19</v>
      </c>
      <c r="J77" s="24" t="s">
        <v>193</v>
      </c>
      <c r="K77" s="25"/>
      <c r="L77" s="1"/>
      <c r="M77" s="1"/>
      <c r="N77" s="1"/>
      <c r="O77" s="1"/>
    </row>
    <row r="78" spans="1:15" ht="15" customHeight="1" x14ac:dyDescent="0.25">
      <c r="A78" s="1"/>
      <c r="B78" s="1"/>
      <c r="C78" s="143" t="s">
        <v>20</v>
      </c>
      <c r="D78" s="145">
        <f>D75</f>
        <v>1.004</v>
      </c>
      <c r="E78" s="147" t="s">
        <v>21</v>
      </c>
      <c r="F78" s="143" t="s">
        <v>20</v>
      </c>
      <c r="G78" s="145">
        <f>G75</f>
        <v>2.476</v>
      </c>
      <c r="H78" s="147" t="s">
        <v>21</v>
      </c>
      <c r="I78" s="143" t="s">
        <v>20</v>
      </c>
      <c r="J78" s="145">
        <f>J75</f>
        <v>1.9469999999999998</v>
      </c>
      <c r="K78" s="147" t="s">
        <v>21</v>
      </c>
      <c r="L78" s="1"/>
      <c r="M78" s="1"/>
      <c r="N78" s="1"/>
      <c r="O78" s="1"/>
    </row>
    <row r="79" spans="1:15" ht="15.75" customHeight="1" x14ac:dyDescent="0.25">
      <c r="A79" s="1"/>
      <c r="B79" s="1"/>
      <c r="C79" s="144"/>
      <c r="D79" s="146"/>
      <c r="E79" s="148"/>
      <c r="F79" s="144"/>
      <c r="G79" s="146"/>
      <c r="H79" s="148"/>
      <c r="I79" s="144"/>
      <c r="J79" s="146"/>
      <c r="K79" s="148"/>
      <c r="L79" s="1"/>
      <c r="M79" s="1"/>
      <c r="N79" s="1"/>
      <c r="O79" s="1"/>
    </row>
    <row r="80" spans="1:15" ht="15.75" customHeight="1" x14ac:dyDescent="0.25">
      <c r="A80" s="1"/>
      <c r="B80" s="1"/>
      <c r="C80" s="2"/>
      <c r="D80" s="1"/>
      <c r="E80" s="1"/>
      <c r="F80" s="2"/>
      <c r="G80" s="1"/>
      <c r="H80" s="1"/>
      <c r="I80" s="2"/>
      <c r="J80" s="1"/>
      <c r="K80" s="1"/>
      <c r="L80" s="1"/>
      <c r="M80" s="1"/>
      <c r="N80" s="1"/>
      <c r="O80" s="1"/>
    </row>
    <row r="81" spans="1:15" ht="15.75" customHeight="1" x14ac:dyDescent="0.25">
      <c r="A81" s="1"/>
      <c r="B81" s="1"/>
      <c r="C81" s="27" t="s">
        <v>22</v>
      </c>
      <c r="D81" s="28"/>
      <c r="E81" s="28"/>
      <c r="F81" s="29"/>
      <c r="G81" s="30">
        <f>D78+G78+J78</f>
        <v>5.4269999999999996</v>
      </c>
      <c r="H81" s="31" t="s">
        <v>21</v>
      </c>
      <c r="I81" s="32" t="s">
        <v>46</v>
      </c>
      <c r="J81" s="28"/>
      <c r="K81" s="33"/>
      <c r="L81" s="1"/>
      <c r="M81" s="1"/>
      <c r="N81" s="1"/>
      <c r="O81" s="1"/>
    </row>
    <row r="82" spans="1:15" ht="15.75" customHeight="1" x14ac:dyDescent="0.25">
      <c r="A82" s="1"/>
      <c r="B82" s="1"/>
      <c r="C82" s="34" t="s">
        <v>24</v>
      </c>
      <c r="D82" s="35"/>
      <c r="E82" s="1"/>
      <c r="F82" s="1"/>
      <c r="G82" s="8"/>
      <c r="H82" s="1"/>
      <c r="I82" s="2"/>
      <c r="J82" s="8"/>
      <c r="K82" s="1"/>
      <c r="L82" s="1"/>
      <c r="M82" s="1"/>
      <c r="N82" s="1"/>
      <c r="O82" s="1"/>
    </row>
    <row r="83" spans="1:15" ht="15.75" customHeight="1" x14ac:dyDescent="0.25">
      <c r="A83" s="1"/>
      <c r="B83" s="1"/>
      <c r="C83" s="34"/>
      <c r="D83" s="35"/>
      <c r="E83" s="1"/>
      <c r="F83" s="2"/>
      <c r="G83" s="1"/>
      <c r="H83" s="1"/>
      <c r="I83" s="2"/>
      <c r="J83" s="1"/>
      <c r="K83" s="1"/>
      <c r="L83" s="1"/>
      <c r="M83" s="1"/>
      <c r="N83" s="1"/>
      <c r="O83" s="1"/>
    </row>
    <row r="84" spans="1:15" ht="15.75" customHeight="1" x14ac:dyDescent="0.25">
      <c r="A84" s="1"/>
      <c r="B84" s="1"/>
      <c r="C84" s="34"/>
      <c r="D84" s="35"/>
      <c r="E84" s="1"/>
      <c r="F84" s="2"/>
      <c r="G84" s="1"/>
      <c r="H84" s="1"/>
      <c r="I84" s="2"/>
      <c r="J84" s="1"/>
      <c r="K84" s="1"/>
      <c r="L84" s="1"/>
      <c r="M84" s="1"/>
      <c r="N84" s="1"/>
      <c r="O84" s="1"/>
    </row>
    <row r="85" spans="1:15" ht="15.75" customHeight="1" x14ac:dyDescent="0.25">
      <c r="A85" s="1"/>
      <c r="B85" s="1"/>
      <c r="C85" s="155" t="s">
        <v>47</v>
      </c>
      <c r="D85" s="156"/>
      <c r="E85" s="156"/>
      <c r="F85" s="156"/>
      <c r="G85" s="156"/>
      <c r="H85" s="156"/>
      <c r="I85" s="156"/>
      <c r="J85" s="156"/>
      <c r="K85" s="156"/>
      <c r="L85" s="156"/>
      <c r="M85" s="156"/>
      <c r="N85" s="156"/>
      <c r="O85" s="157"/>
    </row>
    <row r="86" spans="1:15" ht="15.75" customHeight="1" x14ac:dyDescent="0.25">
      <c r="A86" s="1"/>
      <c r="B86" s="1"/>
      <c r="C86" s="158"/>
      <c r="D86" s="159"/>
      <c r="E86" s="159"/>
      <c r="F86" s="159"/>
      <c r="G86" s="159"/>
      <c r="H86" s="159"/>
      <c r="I86" s="159"/>
      <c r="J86" s="159"/>
      <c r="K86" s="159"/>
      <c r="L86" s="159"/>
      <c r="M86" s="159"/>
      <c r="N86" s="159"/>
      <c r="O86" s="160"/>
    </row>
    <row r="87" spans="1:15" ht="15.75" customHeight="1" x14ac:dyDescent="0.25">
      <c r="A87" s="1"/>
      <c r="B87" s="1"/>
      <c r="C87" s="34"/>
      <c r="D87" s="35"/>
      <c r="E87" s="1"/>
      <c r="F87" s="2"/>
      <c r="G87" s="1"/>
      <c r="H87" s="1"/>
      <c r="I87" s="2"/>
      <c r="J87" s="1"/>
      <c r="K87" s="1"/>
      <c r="L87" s="1"/>
      <c r="M87" s="1"/>
      <c r="N87" s="1"/>
      <c r="O87" s="1"/>
    </row>
    <row r="88" spans="1:15" ht="15.75" customHeight="1" x14ac:dyDescent="0.25">
      <c r="A88" s="1"/>
      <c r="B88" s="1"/>
      <c r="C88" s="2"/>
      <c r="D88" s="1"/>
      <c r="E88" s="1"/>
      <c r="F88" s="56" t="s">
        <v>9</v>
      </c>
      <c r="G88" s="56" t="s">
        <v>10</v>
      </c>
      <c r="H88" s="56" t="s">
        <v>11</v>
      </c>
      <c r="I88" s="2"/>
      <c r="J88" s="1"/>
      <c r="K88" s="1"/>
      <c r="L88" s="1"/>
      <c r="M88" s="1"/>
      <c r="N88" s="1"/>
      <c r="O88" s="1"/>
    </row>
    <row r="89" spans="1:15" ht="15.75" customHeight="1" x14ac:dyDescent="0.25">
      <c r="A89" s="1"/>
      <c r="B89" s="1"/>
      <c r="C89" s="2"/>
      <c r="D89" s="1"/>
      <c r="E89" s="57" t="s">
        <v>48</v>
      </c>
      <c r="F89" s="58">
        <f>D78</f>
        <v>1.004</v>
      </c>
      <c r="G89" s="59">
        <f>G78</f>
        <v>2.476</v>
      </c>
      <c r="H89" s="58">
        <f>J78</f>
        <v>1.9469999999999998</v>
      </c>
      <c r="I89" s="60" t="s">
        <v>49</v>
      </c>
      <c r="J89" s="61" t="s">
        <v>50</v>
      </c>
      <c r="K89" s="62"/>
      <c r="L89" s="1"/>
      <c r="M89" s="1"/>
      <c r="N89" s="1"/>
      <c r="O89" s="1"/>
    </row>
    <row r="90" spans="1:15" ht="15.75" customHeight="1" x14ac:dyDescent="0.25">
      <c r="A90" s="1"/>
      <c r="B90" s="1"/>
      <c r="C90" s="2"/>
      <c r="D90" s="1"/>
      <c r="E90" s="1"/>
      <c r="F90" s="2"/>
      <c r="G90" s="1"/>
      <c r="H90" s="1"/>
      <c r="I90" s="2"/>
      <c r="J90" s="1"/>
      <c r="K90" s="1"/>
      <c r="L90" s="1"/>
      <c r="M90" s="1"/>
      <c r="N90" s="1"/>
      <c r="O90" s="1"/>
    </row>
    <row r="91" spans="1:15" ht="15.75" customHeight="1" x14ac:dyDescent="0.25">
      <c r="A91" s="1"/>
      <c r="B91" s="1"/>
      <c r="C91" s="2"/>
      <c r="D91" s="1"/>
      <c r="E91" s="1"/>
      <c r="F91" s="2"/>
      <c r="G91" s="1"/>
      <c r="H91" s="1"/>
      <c r="I91" s="2"/>
      <c r="J91" s="1"/>
      <c r="K91" s="1"/>
      <c r="L91" s="1"/>
      <c r="M91" s="1"/>
      <c r="N91" s="1"/>
      <c r="O91" s="1"/>
    </row>
    <row r="92" spans="1:15" ht="15.75" customHeight="1" x14ac:dyDescent="0.25">
      <c r="A92" s="1"/>
      <c r="B92" s="3" t="s">
        <v>51</v>
      </c>
      <c r="C92" s="4" t="s">
        <v>52</v>
      </c>
      <c r="D92" s="1"/>
      <c r="E92" s="1"/>
      <c r="F92" s="2"/>
      <c r="G92" s="1"/>
      <c r="H92" s="1"/>
      <c r="I92" s="2"/>
      <c r="J92" s="1"/>
      <c r="K92" s="1"/>
      <c r="L92" s="1"/>
      <c r="M92" s="1"/>
      <c r="N92" s="1"/>
      <c r="O92" s="1"/>
    </row>
    <row r="93" spans="1:15" ht="15.75" customHeight="1" x14ac:dyDescent="0.25">
      <c r="A93" s="1"/>
      <c r="B93" s="1"/>
      <c r="C93" s="2"/>
      <c r="D93" s="1"/>
      <c r="E93" s="1"/>
      <c r="F93" s="2"/>
      <c r="G93" s="1"/>
      <c r="H93" s="1"/>
      <c r="I93" s="2"/>
      <c r="J93" s="1"/>
      <c r="K93" s="1"/>
      <c r="L93" s="1"/>
      <c r="M93" s="1"/>
      <c r="N93" s="1"/>
      <c r="O93" s="1"/>
    </row>
    <row r="94" spans="1:15" ht="15.75" customHeight="1" x14ac:dyDescent="0.25">
      <c r="A94" s="1"/>
      <c r="B94" s="1"/>
      <c r="C94" s="2"/>
      <c r="D94" s="1"/>
      <c r="E94" s="1"/>
      <c r="F94" s="2"/>
      <c r="G94" s="1"/>
      <c r="H94" s="1"/>
      <c r="I94" s="2"/>
      <c r="J94" s="1"/>
      <c r="K94" s="1"/>
      <c r="L94" s="1"/>
      <c r="M94" s="1"/>
      <c r="N94" s="1"/>
      <c r="O94" s="1"/>
    </row>
    <row r="95" spans="1:15" ht="15.75" customHeight="1" x14ac:dyDescent="0.25">
      <c r="A95" s="1"/>
      <c r="B95" s="1"/>
      <c r="C95" s="2"/>
      <c r="D95" s="1"/>
      <c r="E95" s="1"/>
      <c r="F95" s="2"/>
      <c r="G95" s="1"/>
      <c r="H95" s="2"/>
      <c r="I95" s="56" t="s">
        <v>9</v>
      </c>
      <c r="J95" s="56" t="s">
        <v>10</v>
      </c>
      <c r="K95" s="56" t="s">
        <v>11</v>
      </c>
      <c r="L95" s="1"/>
      <c r="M95" s="1"/>
      <c r="N95" s="1"/>
      <c r="O95" s="1"/>
    </row>
    <row r="96" spans="1:15" ht="15.75" customHeight="1" x14ac:dyDescent="0.25">
      <c r="A96" s="1"/>
      <c r="B96" s="1"/>
      <c r="C96" s="2"/>
      <c r="D96" s="1"/>
      <c r="E96" s="1"/>
      <c r="F96" s="2"/>
      <c r="G96" s="1"/>
      <c r="H96" s="4" t="s">
        <v>53</v>
      </c>
      <c r="I96" s="63">
        <v>0</v>
      </c>
      <c r="J96" s="63">
        <v>0.08</v>
      </c>
      <c r="K96" s="63">
        <v>0.03</v>
      </c>
      <c r="L96" s="1"/>
      <c r="M96" s="1"/>
      <c r="N96" s="1"/>
      <c r="O96" s="1"/>
    </row>
    <row r="97" spans="1:15" ht="15.75" customHeight="1" x14ac:dyDescent="0.25">
      <c r="A97" s="1"/>
      <c r="B97" s="1"/>
      <c r="C97" s="2"/>
      <c r="D97" s="1"/>
      <c r="E97" s="1"/>
      <c r="F97" s="2"/>
      <c r="G97" s="1"/>
      <c r="H97" s="4" t="s">
        <v>54</v>
      </c>
      <c r="I97" s="64">
        <v>0.02</v>
      </c>
      <c r="J97" s="64">
        <v>-0.17</v>
      </c>
      <c r="K97" s="64">
        <v>0.08</v>
      </c>
      <c r="L97" s="1"/>
      <c r="M97" s="1"/>
      <c r="N97" s="1"/>
      <c r="O97" s="1"/>
    </row>
    <row r="98" spans="1:15" ht="15.75" customHeight="1" x14ac:dyDescent="0.25">
      <c r="A98" s="1"/>
      <c r="B98" s="1"/>
      <c r="C98" s="2"/>
      <c r="D98" s="1"/>
      <c r="E98" s="1"/>
      <c r="F98" s="2"/>
      <c r="G98" s="1"/>
      <c r="H98" s="4" t="s">
        <v>55</v>
      </c>
      <c r="I98" s="63">
        <v>-0.03</v>
      </c>
      <c r="J98" s="63">
        <v>0.02</v>
      </c>
      <c r="K98" s="63">
        <v>0.02</v>
      </c>
      <c r="L98" s="1"/>
      <c r="M98" s="1"/>
      <c r="N98" s="1"/>
      <c r="O98" s="1"/>
    </row>
    <row r="99" spans="1:15" ht="15.75" customHeight="1" x14ac:dyDescent="0.25">
      <c r="A99" s="1"/>
      <c r="B99" s="1"/>
      <c r="C99" s="2"/>
      <c r="D99" s="1"/>
      <c r="E99" s="1"/>
      <c r="F99" s="2"/>
      <c r="G99" s="1"/>
      <c r="H99" s="4" t="s">
        <v>56</v>
      </c>
      <c r="I99" s="63">
        <v>0</v>
      </c>
      <c r="J99" s="63">
        <v>0</v>
      </c>
      <c r="K99" s="63">
        <v>0.04</v>
      </c>
      <c r="L99" s="1"/>
      <c r="M99" s="1"/>
      <c r="N99" s="1"/>
      <c r="O99" s="1"/>
    </row>
    <row r="100" spans="1:15" ht="15.75" customHeight="1" x14ac:dyDescent="0.25">
      <c r="A100" s="1"/>
      <c r="B100" s="1"/>
      <c r="C100" s="2"/>
      <c r="D100" s="1"/>
      <c r="E100" s="1"/>
      <c r="F100" s="2"/>
      <c r="G100" s="1"/>
      <c r="H100" s="65" t="s">
        <v>57</v>
      </c>
      <c r="I100" s="56">
        <f>SUM(I96:I99)</f>
        <v>-9.9999999999999985E-3</v>
      </c>
      <c r="J100" s="56">
        <f t="shared" ref="J100:K100" si="0">SUM(J96:J99)</f>
        <v>-7.0000000000000007E-2</v>
      </c>
      <c r="K100" s="56">
        <f t="shared" si="0"/>
        <v>0.17</v>
      </c>
      <c r="L100" s="1"/>
      <c r="M100" s="1"/>
      <c r="N100" s="1"/>
      <c r="O100" s="1"/>
    </row>
    <row r="101" spans="1:15" ht="15.75" customHeight="1" x14ac:dyDescent="0.25">
      <c r="A101" s="1"/>
      <c r="B101" s="1"/>
      <c r="C101" s="2"/>
      <c r="D101" s="1"/>
      <c r="E101" s="1"/>
      <c r="F101" s="2"/>
      <c r="G101" s="1"/>
      <c r="H101" s="66" t="s">
        <v>18</v>
      </c>
      <c r="I101" s="67" t="s">
        <v>197</v>
      </c>
      <c r="J101" s="67" t="s">
        <v>58</v>
      </c>
      <c r="K101" s="68" t="s">
        <v>59</v>
      </c>
      <c r="L101" s="1"/>
      <c r="M101" s="1"/>
      <c r="N101" s="1"/>
      <c r="O101" s="1"/>
    </row>
    <row r="102" spans="1:15" ht="15.75" customHeight="1" x14ac:dyDescent="0.25">
      <c r="A102" s="1"/>
      <c r="B102" s="1"/>
      <c r="C102" s="2"/>
      <c r="D102" s="1"/>
      <c r="E102" s="1"/>
      <c r="F102" s="2"/>
      <c r="G102" s="1"/>
      <c r="H102" s="1"/>
      <c r="I102" s="2"/>
      <c r="J102" s="1"/>
      <c r="K102" s="1"/>
      <c r="L102" s="1"/>
      <c r="M102" s="1"/>
      <c r="N102" s="1"/>
      <c r="O102" s="1"/>
    </row>
    <row r="103" spans="1:15" ht="15.75" customHeight="1" x14ac:dyDescent="0.25">
      <c r="A103" s="1"/>
      <c r="B103" s="1"/>
      <c r="C103" s="2"/>
      <c r="D103" s="1"/>
      <c r="E103" s="1"/>
      <c r="F103" s="2"/>
      <c r="G103" s="69"/>
      <c r="H103" s="70" t="s">
        <v>60</v>
      </c>
      <c r="I103" s="71">
        <f t="shared" ref="I103:K103" si="1">I100</f>
        <v>-9.9999999999999985E-3</v>
      </c>
      <c r="J103" s="71">
        <f t="shared" si="1"/>
        <v>-7.0000000000000007E-2</v>
      </c>
      <c r="K103" s="71">
        <f t="shared" si="1"/>
        <v>0.17</v>
      </c>
      <c r="L103" s="1"/>
      <c r="M103" s="1"/>
      <c r="N103" s="1"/>
      <c r="O103" s="1"/>
    </row>
    <row r="104" spans="1:15" ht="15.75" customHeight="1" x14ac:dyDescent="0.25">
      <c r="A104" s="1"/>
      <c r="B104" s="1"/>
      <c r="C104" s="2"/>
      <c r="D104" s="1"/>
      <c r="E104" s="1"/>
      <c r="F104" s="2"/>
      <c r="G104" s="1"/>
      <c r="H104" s="1"/>
      <c r="I104" s="2"/>
      <c r="J104" s="1"/>
      <c r="K104" s="1"/>
      <c r="L104" s="1"/>
      <c r="M104" s="1"/>
      <c r="N104" s="1"/>
      <c r="O104" s="1"/>
    </row>
    <row r="105" spans="1:15" ht="15.75" customHeight="1" x14ac:dyDescent="0.25">
      <c r="A105" s="1"/>
      <c r="B105" s="1"/>
      <c r="C105" s="2"/>
      <c r="D105" s="1"/>
      <c r="E105" s="1"/>
      <c r="F105" s="2"/>
      <c r="G105" s="1"/>
      <c r="H105" s="72" t="s">
        <v>61</v>
      </c>
      <c r="I105" s="73" t="s">
        <v>62</v>
      </c>
      <c r="J105" s="73" t="s">
        <v>63</v>
      </c>
      <c r="K105" s="73" t="s">
        <v>64</v>
      </c>
      <c r="L105" s="1"/>
      <c r="M105" s="1"/>
      <c r="N105" s="1"/>
      <c r="O105" s="1"/>
    </row>
    <row r="106" spans="1:15" ht="15.75" customHeight="1" x14ac:dyDescent="0.25">
      <c r="A106" s="1"/>
      <c r="B106" s="1"/>
      <c r="C106" s="2"/>
      <c r="D106" s="1"/>
      <c r="E106" s="1"/>
      <c r="F106" s="2"/>
      <c r="G106" s="1"/>
      <c r="H106" s="72" t="s">
        <v>61</v>
      </c>
      <c r="I106" s="73" t="s">
        <v>65</v>
      </c>
      <c r="J106" s="73" t="s">
        <v>66</v>
      </c>
      <c r="K106" s="73" t="s">
        <v>67</v>
      </c>
      <c r="L106" s="1"/>
      <c r="M106" s="1"/>
      <c r="N106" s="1"/>
      <c r="O106" s="1"/>
    </row>
    <row r="107" spans="1:15" ht="15.75" customHeight="1" x14ac:dyDescent="0.25">
      <c r="A107" s="1"/>
      <c r="B107" s="1"/>
      <c r="C107" s="2"/>
      <c r="D107" s="1"/>
      <c r="E107" s="1"/>
      <c r="F107" s="2"/>
      <c r="G107" s="74"/>
      <c r="H107" s="70" t="s">
        <v>61</v>
      </c>
      <c r="I107" s="71">
        <f>1+I103</f>
        <v>0.99</v>
      </c>
      <c r="J107" s="71">
        <f t="shared" ref="J107:K107" si="2">1+J103</f>
        <v>0.92999999999999994</v>
      </c>
      <c r="K107" s="71">
        <f t="shared" si="2"/>
        <v>1.17</v>
      </c>
      <c r="L107" s="1"/>
      <c r="M107" s="1"/>
      <c r="N107" s="1"/>
      <c r="O107" s="1"/>
    </row>
    <row r="108" spans="1:15" ht="15.75" customHeight="1" x14ac:dyDescent="0.25">
      <c r="A108" s="1"/>
      <c r="B108" s="1"/>
      <c r="C108" s="2"/>
      <c r="D108" s="1"/>
      <c r="E108" s="1"/>
      <c r="F108" s="2"/>
      <c r="G108" s="1"/>
      <c r="H108" s="1"/>
      <c r="I108" s="2"/>
      <c r="J108" s="1"/>
      <c r="K108" s="1"/>
      <c r="L108" s="1"/>
      <c r="M108" s="1"/>
      <c r="N108" s="1"/>
      <c r="O108" s="1"/>
    </row>
    <row r="109" spans="1:15" ht="15.75" customHeight="1" x14ac:dyDescent="0.25">
      <c r="A109" s="1"/>
      <c r="B109" s="1"/>
      <c r="C109" s="2"/>
      <c r="D109" s="1"/>
      <c r="E109" s="1"/>
      <c r="F109" s="2"/>
      <c r="G109" s="1"/>
      <c r="H109" s="75"/>
      <c r="I109" s="2"/>
      <c r="J109" s="1"/>
      <c r="K109" s="1"/>
      <c r="L109" s="1"/>
      <c r="M109" s="1"/>
      <c r="N109" s="1"/>
      <c r="O109" s="1"/>
    </row>
    <row r="110" spans="1:15" ht="15.75" customHeight="1" x14ac:dyDescent="0.25">
      <c r="A110" s="1"/>
      <c r="B110" s="1"/>
      <c r="C110" s="2"/>
      <c r="D110" s="1"/>
      <c r="E110" s="1"/>
      <c r="F110" s="2"/>
      <c r="G110" s="1"/>
      <c r="H110" s="1"/>
      <c r="I110" s="2"/>
      <c r="J110" s="1"/>
      <c r="K110" s="1"/>
      <c r="L110" s="1"/>
      <c r="M110" s="1"/>
      <c r="N110" s="1"/>
      <c r="O110" s="1"/>
    </row>
    <row r="111" spans="1:15" ht="15.75" customHeight="1" x14ac:dyDescent="0.25">
      <c r="A111" s="1"/>
      <c r="B111" s="1"/>
      <c r="C111" s="2"/>
      <c r="D111" s="1"/>
      <c r="E111" s="1"/>
      <c r="F111" s="2"/>
      <c r="G111" s="1"/>
      <c r="H111" s="1"/>
      <c r="I111" s="2"/>
      <c r="J111" s="1"/>
      <c r="K111" s="1"/>
      <c r="L111" s="1"/>
      <c r="M111" s="1"/>
      <c r="N111" s="1"/>
      <c r="O111" s="1"/>
    </row>
    <row r="112" spans="1:15" ht="15.75" customHeight="1" x14ac:dyDescent="0.25">
      <c r="A112" s="1"/>
      <c r="B112" s="3" t="s">
        <v>68</v>
      </c>
      <c r="C112" s="4" t="s">
        <v>69</v>
      </c>
      <c r="D112" s="1"/>
      <c r="E112" s="1"/>
      <c r="F112" s="2"/>
      <c r="G112" s="1"/>
      <c r="H112" s="1"/>
      <c r="I112" s="2"/>
      <c r="J112" s="1"/>
      <c r="K112" s="1"/>
      <c r="L112" s="1"/>
      <c r="M112" s="1"/>
      <c r="N112" s="1"/>
      <c r="O112" s="1"/>
    </row>
    <row r="113" spans="1:15" ht="15.75" customHeight="1" x14ac:dyDescent="0.25">
      <c r="A113" s="1"/>
      <c r="B113" s="1"/>
      <c r="C113" s="2"/>
      <c r="D113" s="1"/>
      <c r="E113" s="1"/>
      <c r="F113" s="2"/>
      <c r="G113" s="1"/>
      <c r="H113" s="1"/>
      <c r="I113" s="2"/>
      <c r="J113" s="1"/>
      <c r="K113" s="1"/>
      <c r="L113" s="1"/>
      <c r="M113" s="1"/>
      <c r="N113" s="1"/>
      <c r="O113" s="1"/>
    </row>
    <row r="114" spans="1:15" ht="15.75" customHeight="1" x14ac:dyDescent="0.25">
      <c r="A114" s="1"/>
      <c r="B114" s="1"/>
      <c r="C114" s="2"/>
      <c r="D114" s="55" t="s">
        <v>70</v>
      </c>
      <c r="E114" s="1"/>
      <c r="F114" s="76" t="s">
        <v>71</v>
      </c>
      <c r="G114" s="77"/>
      <c r="H114" s="77"/>
      <c r="I114" s="78"/>
      <c r="J114" s="1"/>
      <c r="K114" s="1"/>
      <c r="L114" s="1"/>
      <c r="M114" s="1"/>
      <c r="N114" s="1"/>
      <c r="O114" s="1"/>
    </row>
    <row r="115" spans="1:15" ht="15.75" customHeight="1" x14ac:dyDescent="0.25">
      <c r="A115" s="1"/>
      <c r="B115" s="1"/>
      <c r="C115" s="2"/>
      <c r="D115" s="1"/>
      <c r="E115" s="1"/>
      <c r="F115" s="2"/>
      <c r="G115" s="1"/>
      <c r="H115" s="1"/>
      <c r="I115" s="2"/>
      <c r="J115" s="1"/>
      <c r="K115" s="1"/>
      <c r="L115" s="1"/>
      <c r="M115" s="1"/>
      <c r="N115" s="1"/>
      <c r="O115" s="1"/>
    </row>
    <row r="116" spans="1:15" ht="15.75" customHeight="1" x14ac:dyDescent="0.25">
      <c r="A116" s="1"/>
      <c r="B116" s="1"/>
      <c r="C116" s="2"/>
      <c r="D116" s="55" t="s">
        <v>72</v>
      </c>
      <c r="E116" s="1"/>
      <c r="F116" s="49" t="s">
        <v>73</v>
      </c>
      <c r="G116" s="177" t="s">
        <v>74</v>
      </c>
      <c r="H116" s="162"/>
      <c r="I116" s="2"/>
      <c r="J116" s="79" t="s">
        <v>75</v>
      </c>
      <c r="K116" s="80"/>
      <c r="L116" s="1"/>
      <c r="M116" s="1"/>
      <c r="N116" s="1"/>
      <c r="O116" s="1"/>
    </row>
    <row r="117" spans="1:15" ht="15.75" customHeight="1" x14ac:dyDescent="0.25">
      <c r="A117" s="1"/>
      <c r="B117" s="1"/>
      <c r="C117" s="2"/>
      <c r="D117" s="81" t="s">
        <v>9</v>
      </c>
      <c r="E117" s="82">
        <f>F89</f>
        <v>1.004</v>
      </c>
      <c r="F117" s="71">
        <f>I107</f>
        <v>0.99</v>
      </c>
      <c r="G117" s="83">
        <f t="shared" ref="G117:G119" si="3">E117*F117</f>
        <v>0.99395999999999995</v>
      </c>
      <c r="H117" s="84" t="s">
        <v>21</v>
      </c>
      <c r="I117" s="2"/>
      <c r="J117" s="85">
        <f>G117+G118+G119</f>
        <v>5.5746299999999991</v>
      </c>
      <c r="K117" s="79" t="s">
        <v>21</v>
      </c>
      <c r="L117" s="1"/>
      <c r="M117" s="1"/>
      <c r="N117" s="1"/>
      <c r="O117" s="1"/>
    </row>
    <row r="118" spans="1:15" ht="15.75" customHeight="1" x14ac:dyDescent="0.25">
      <c r="A118" s="1"/>
      <c r="B118" s="1"/>
      <c r="C118" s="2"/>
      <c r="D118" s="81" t="s">
        <v>10</v>
      </c>
      <c r="E118" s="82">
        <f>G89</f>
        <v>2.476</v>
      </c>
      <c r="F118" s="71">
        <f>J107</f>
        <v>0.92999999999999994</v>
      </c>
      <c r="G118" s="83">
        <f t="shared" si="3"/>
        <v>2.3026799999999996</v>
      </c>
      <c r="H118" s="84" t="s">
        <v>21</v>
      </c>
      <c r="I118" s="2"/>
      <c r="J118" s="77" t="s">
        <v>76</v>
      </c>
      <c r="K118" s="1"/>
      <c r="L118" s="1"/>
      <c r="M118" s="1"/>
      <c r="N118" s="1"/>
      <c r="O118" s="1"/>
    </row>
    <row r="119" spans="1:15" ht="15.75" customHeight="1" x14ac:dyDescent="0.25">
      <c r="A119" s="1"/>
      <c r="B119" s="1"/>
      <c r="C119" s="2"/>
      <c r="D119" s="81" t="s">
        <v>11</v>
      </c>
      <c r="E119" s="82">
        <f>H89</f>
        <v>1.9469999999999998</v>
      </c>
      <c r="F119" s="71">
        <f>K107</f>
        <v>1.17</v>
      </c>
      <c r="G119" s="83">
        <f t="shared" si="3"/>
        <v>2.2779899999999995</v>
      </c>
      <c r="H119" s="84" t="s">
        <v>21</v>
      </c>
      <c r="I119" s="2"/>
      <c r="J119" s="1"/>
      <c r="K119" s="1"/>
      <c r="L119" s="1"/>
      <c r="M119" s="1"/>
      <c r="N119" s="1"/>
      <c r="O119" s="1"/>
    </row>
    <row r="120" spans="1:15" ht="15.75" customHeight="1" x14ac:dyDescent="0.25">
      <c r="A120" s="1"/>
      <c r="B120" s="1"/>
      <c r="C120" s="2"/>
      <c r="D120" s="1"/>
      <c r="E120" s="1"/>
      <c r="F120" s="2"/>
      <c r="G120" s="1"/>
      <c r="H120" s="1"/>
      <c r="I120" s="2"/>
      <c r="J120" s="1"/>
      <c r="K120" s="1"/>
      <c r="L120" s="1"/>
      <c r="M120" s="1"/>
      <c r="N120" s="1"/>
      <c r="O120" s="1"/>
    </row>
    <row r="121" spans="1:15" ht="15.75" customHeight="1" x14ac:dyDescent="0.25">
      <c r="A121" s="1"/>
      <c r="B121" s="1"/>
      <c r="C121" s="2"/>
      <c r="D121" s="1"/>
      <c r="E121" s="1"/>
      <c r="F121" s="2"/>
      <c r="G121" s="1"/>
      <c r="H121" s="1"/>
      <c r="I121" s="2"/>
      <c r="J121" s="1"/>
      <c r="K121" s="1"/>
      <c r="L121" s="1"/>
      <c r="M121" s="1"/>
      <c r="N121" s="1"/>
      <c r="O121" s="1"/>
    </row>
    <row r="122" spans="1:15" ht="15.75" customHeight="1" x14ac:dyDescent="0.25">
      <c r="A122" s="1"/>
      <c r="B122" s="3" t="s">
        <v>77</v>
      </c>
      <c r="C122" s="4" t="s">
        <v>78</v>
      </c>
      <c r="D122" s="1"/>
      <c r="E122" s="1"/>
      <c r="F122" s="2"/>
      <c r="G122" s="1"/>
      <c r="H122" s="1"/>
      <c r="I122" s="2"/>
      <c r="J122" s="1"/>
      <c r="K122" s="1"/>
      <c r="L122" s="1"/>
      <c r="M122" s="1"/>
      <c r="N122" s="1"/>
      <c r="O122" s="1"/>
    </row>
    <row r="123" spans="1:15" ht="15.75" customHeight="1" x14ac:dyDescent="0.25">
      <c r="A123" s="1"/>
      <c r="B123" s="1"/>
      <c r="C123" s="2"/>
      <c r="D123" s="1"/>
      <c r="E123" s="1"/>
      <c r="F123" s="2"/>
      <c r="G123" s="1"/>
      <c r="H123" s="1"/>
      <c r="I123" s="2"/>
      <c r="J123" s="1"/>
      <c r="K123" s="1"/>
      <c r="L123" s="1"/>
      <c r="M123" s="1"/>
      <c r="N123" s="1"/>
      <c r="O123" s="1"/>
    </row>
    <row r="124" spans="1:15" ht="15.75" customHeight="1" x14ac:dyDescent="0.25">
      <c r="A124" s="1"/>
      <c r="B124" s="1"/>
      <c r="C124" s="2"/>
      <c r="D124" s="1"/>
      <c r="E124" s="1"/>
      <c r="F124" s="2"/>
      <c r="G124" s="178" t="s">
        <v>79</v>
      </c>
      <c r="H124" s="162"/>
      <c r="I124" s="162"/>
      <c r="J124" s="162"/>
      <c r="K124" s="162"/>
      <c r="L124" s="1"/>
      <c r="M124" s="1"/>
      <c r="N124" s="1"/>
      <c r="O124" s="1"/>
    </row>
    <row r="125" spans="1:15" ht="15.75" customHeight="1" x14ac:dyDescent="0.25">
      <c r="A125" s="1"/>
      <c r="B125" s="1"/>
      <c r="C125" s="2"/>
      <c r="D125" s="1"/>
      <c r="E125" s="1"/>
      <c r="F125" s="2"/>
      <c r="G125" s="162"/>
      <c r="H125" s="162"/>
      <c r="I125" s="162"/>
      <c r="J125" s="162"/>
      <c r="K125" s="162"/>
      <c r="L125" s="1"/>
      <c r="M125" s="1"/>
      <c r="N125" s="1"/>
      <c r="O125" s="1"/>
    </row>
    <row r="126" spans="1:15" ht="15.75" customHeight="1" x14ac:dyDescent="0.25">
      <c r="A126" s="1"/>
      <c r="B126" s="1"/>
      <c r="C126" s="2"/>
      <c r="D126" s="1"/>
      <c r="E126" s="1"/>
      <c r="F126" s="2"/>
      <c r="G126" s="162"/>
      <c r="H126" s="162"/>
      <c r="I126" s="162"/>
      <c r="J126" s="162"/>
      <c r="K126" s="162"/>
      <c r="L126" s="1"/>
      <c r="M126" s="1"/>
      <c r="N126" s="1"/>
      <c r="O126" s="1"/>
    </row>
    <row r="127" spans="1:15" ht="15.75" customHeight="1" x14ac:dyDescent="0.25">
      <c r="A127" s="1"/>
      <c r="B127" s="1"/>
      <c r="C127" s="2"/>
      <c r="D127" s="1"/>
      <c r="E127" s="1"/>
      <c r="F127" s="2"/>
      <c r="G127" s="162"/>
      <c r="H127" s="162"/>
      <c r="I127" s="162"/>
      <c r="J127" s="162"/>
      <c r="K127" s="162"/>
      <c r="L127" s="1"/>
      <c r="M127" s="1"/>
      <c r="N127" s="1"/>
      <c r="O127" s="1"/>
    </row>
    <row r="128" spans="1:15" ht="15.75" customHeight="1" x14ac:dyDescent="0.25">
      <c r="A128" s="1"/>
      <c r="B128" s="1"/>
      <c r="C128" s="2"/>
      <c r="D128" s="1"/>
      <c r="E128" s="1"/>
      <c r="F128" s="2"/>
      <c r="G128" s="162"/>
      <c r="H128" s="162"/>
      <c r="I128" s="162"/>
      <c r="J128" s="162"/>
      <c r="K128" s="162"/>
      <c r="L128" s="1"/>
      <c r="M128" s="1"/>
      <c r="N128" s="1"/>
      <c r="O128" s="1"/>
    </row>
    <row r="129" spans="1:15" ht="15.75" customHeight="1" x14ac:dyDescent="0.25">
      <c r="A129" s="1"/>
      <c r="B129" s="1"/>
      <c r="C129" s="2"/>
      <c r="D129" s="1"/>
      <c r="E129" s="1"/>
      <c r="F129" s="2"/>
      <c r="G129" s="162"/>
      <c r="H129" s="162"/>
      <c r="I129" s="162"/>
      <c r="J129" s="162"/>
      <c r="K129" s="162"/>
      <c r="L129" s="1"/>
      <c r="M129" s="1"/>
      <c r="N129" s="1"/>
      <c r="O129" s="1"/>
    </row>
    <row r="130" spans="1:15" ht="15.75" customHeight="1" x14ac:dyDescent="0.25">
      <c r="A130" s="1"/>
      <c r="B130" s="1"/>
      <c r="C130" s="2"/>
      <c r="D130" s="1"/>
      <c r="E130" s="1"/>
      <c r="F130" s="2"/>
      <c r="G130" s="1"/>
      <c r="H130" s="1"/>
      <c r="I130" s="2"/>
      <c r="J130" s="1"/>
      <c r="K130" s="1"/>
      <c r="L130" s="1"/>
      <c r="M130" s="1"/>
      <c r="N130" s="1"/>
      <c r="O130" s="1"/>
    </row>
    <row r="131" spans="1:15" ht="15" customHeight="1" x14ac:dyDescent="0.25">
      <c r="A131" s="1"/>
      <c r="B131" s="1"/>
      <c r="C131" s="2"/>
      <c r="D131" s="1"/>
      <c r="E131" s="1"/>
      <c r="F131" s="2"/>
      <c r="G131" s="178" t="s">
        <v>80</v>
      </c>
      <c r="H131" s="162"/>
      <c r="I131" s="162"/>
      <c r="J131" s="162"/>
      <c r="K131" s="162"/>
      <c r="L131" s="1"/>
      <c r="M131" s="1"/>
      <c r="N131" s="1"/>
      <c r="O131" s="1"/>
    </row>
    <row r="132" spans="1:15" ht="15.75" customHeight="1" x14ac:dyDescent="0.25">
      <c r="A132" s="1"/>
      <c r="B132" s="1"/>
      <c r="C132" s="2"/>
      <c r="D132" s="1"/>
      <c r="E132" s="1"/>
      <c r="F132" s="2"/>
      <c r="G132" s="162"/>
      <c r="H132" s="162"/>
      <c r="I132" s="162"/>
      <c r="J132" s="162"/>
      <c r="K132" s="162"/>
      <c r="L132" s="1"/>
      <c r="M132" s="1"/>
      <c r="N132" s="1"/>
      <c r="O132" s="1"/>
    </row>
    <row r="133" spans="1:15" ht="15.75" customHeight="1" x14ac:dyDescent="0.25">
      <c r="A133" s="1"/>
      <c r="B133" s="1"/>
      <c r="C133" s="2"/>
      <c r="D133" s="1"/>
      <c r="E133" s="1"/>
      <c r="F133" s="2"/>
      <c r="G133" s="162"/>
      <c r="H133" s="162"/>
      <c r="I133" s="162"/>
      <c r="J133" s="162"/>
      <c r="K133" s="162"/>
      <c r="L133" s="1"/>
      <c r="M133" s="1"/>
      <c r="N133" s="1"/>
      <c r="O133" s="1"/>
    </row>
    <row r="134" spans="1:15" ht="15.75" customHeight="1" x14ac:dyDescent="0.25">
      <c r="A134" s="1"/>
      <c r="B134" s="1"/>
      <c r="C134" s="2"/>
      <c r="D134" s="1"/>
      <c r="E134" s="1"/>
      <c r="F134" s="2"/>
      <c r="G134" s="162"/>
      <c r="H134" s="162"/>
      <c r="I134" s="162"/>
      <c r="J134" s="162"/>
      <c r="K134" s="162"/>
      <c r="L134" s="1"/>
      <c r="M134" s="1"/>
      <c r="N134" s="1"/>
      <c r="O134" s="1"/>
    </row>
    <row r="135" spans="1:15" ht="15.75" customHeight="1" x14ac:dyDescent="0.25">
      <c r="A135" s="1"/>
      <c r="B135" s="1"/>
      <c r="C135" s="2"/>
      <c r="D135" s="1"/>
      <c r="E135" s="1"/>
      <c r="F135" s="2"/>
      <c r="G135" s="162"/>
      <c r="H135" s="162"/>
      <c r="I135" s="162"/>
      <c r="J135" s="162"/>
      <c r="K135" s="162"/>
      <c r="L135" s="1"/>
      <c r="M135" s="1"/>
      <c r="N135" s="1"/>
      <c r="O135" s="1"/>
    </row>
    <row r="136" spans="1:15" ht="15.75" customHeight="1" x14ac:dyDescent="0.25">
      <c r="A136" s="1"/>
      <c r="B136" s="1"/>
      <c r="C136" s="2"/>
      <c r="D136" s="1"/>
      <c r="E136" s="1"/>
      <c r="F136" s="2"/>
      <c r="G136" s="162"/>
      <c r="H136" s="162"/>
      <c r="I136" s="162"/>
      <c r="J136" s="162"/>
      <c r="K136" s="162"/>
      <c r="L136" s="1"/>
      <c r="M136" s="1"/>
      <c r="N136" s="1"/>
      <c r="O136" s="1"/>
    </row>
    <row r="137" spans="1:15" ht="15.75" customHeight="1" x14ac:dyDescent="0.25">
      <c r="A137" s="1"/>
      <c r="B137" s="1"/>
      <c r="C137" s="2"/>
      <c r="D137" s="1"/>
      <c r="E137" s="1"/>
      <c r="F137" s="2"/>
      <c r="G137" s="162"/>
      <c r="H137" s="162"/>
      <c r="I137" s="162"/>
      <c r="J137" s="162"/>
      <c r="K137" s="162"/>
      <c r="L137" s="1"/>
      <c r="M137" s="1"/>
      <c r="N137" s="1"/>
      <c r="O137" s="1"/>
    </row>
    <row r="138" spans="1:15" ht="15.75" customHeight="1" x14ac:dyDescent="0.25">
      <c r="A138" s="1"/>
      <c r="B138" s="1"/>
      <c r="C138" s="2"/>
      <c r="D138" s="1"/>
      <c r="E138" s="1"/>
      <c r="F138" s="2"/>
      <c r="G138" s="1"/>
      <c r="H138" s="1"/>
      <c r="I138" s="2"/>
      <c r="J138" s="1"/>
      <c r="K138" s="1"/>
      <c r="L138" s="1"/>
      <c r="M138" s="1"/>
      <c r="N138" s="1"/>
      <c r="O138" s="1"/>
    </row>
    <row r="139" spans="1:15" ht="15.75" customHeight="1" x14ac:dyDescent="0.25">
      <c r="A139" s="1"/>
      <c r="B139" s="1"/>
      <c r="C139" s="2"/>
      <c r="D139" s="1"/>
      <c r="E139" s="1"/>
      <c r="F139" s="2"/>
      <c r="G139" s="180" t="s">
        <v>81</v>
      </c>
      <c r="H139" s="162"/>
      <c r="I139" s="162"/>
      <c r="J139" s="162"/>
      <c r="K139" s="162"/>
      <c r="L139" s="1"/>
      <c r="M139" s="1"/>
      <c r="N139" s="1"/>
      <c r="O139" s="1"/>
    </row>
    <row r="140" spans="1:15" ht="15.75" customHeight="1" x14ac:dyDescent="0.25">
      <c r="A140" s="1"/>
      <c r="B140" s="1"/>
      <c r="C140" s="2"/>
      <c r="D140" s="1"/>
      <c r="E140" s="1"/>
      <c r="F140" s="2"/>
      <c r="G140" s="162"/>
      <c r="H140" s="162"/>
      <c r="I140" s="162"/>
      <c r="J140" s="162"/>
      <c r="K140" s="162"/>
      <c r="L140" s="1"/>
      <c r="M140" s="1"/>
      <c r="N140" s="1"/>
      <c r="O140" s="1"/>
    </row>
    <row r="141" spans="1:15" ht="15.75" customHeight="1" x14ac:dyDescent="0.25">
      <c r="A141" s="1"/>
      <c r="B141" s="1"/>
      <c r="C141" s="2"/>
      <c r="D141" s="1"/>
      <c r="E141" s="1"/>
      <c r="F141" s="2"/>
      <c r="G141" s="162"/>
      <c r="H141" s="162"/>
      <c r="I141" s="162"/>
      <c r="J141" s="162"/>
      <c r="K141" s="162"/>
      <c r="L141" s="1"/>
      <c r="M141" s="1"/>
      <c r="N141" s="1"/>
      <c r="O141" s="1"/>
    </row>
    <row r="142" spans="1:15" ht="15.75" customHeight="1" x14ac:dyDescent="0.25">
      <c r="A142" s="1"/>
      <c r="B142" s="1"/>
      <c r="C142" s="2"/>
      <c r="D142" s="1"/>
      <c r="E142" s="1"/>
      <c r="F142" s="2"/>
      <c r="G142" s="162"/>
      <c r="H142" s="162"/>
      <c r="I142" s="162"/>
      <c r="J142" s="162"/>
      <c r="K142" s="162"/>
      <c r="L142" s="1"/>
      <c r="M142" s="1"/>
      <c r="N142" s="1"/>
      <c r="O142" s="1"/>
    </row>
    <row r="143" spans="1:15" ht="15.75" customHeight="1" x14ac:dyDescent="0.25">
      <c r="A143" s="1"/>
      <c r="B143" s="1"/>
      <c r="C143" s="2"/>
      <c r="D143" s="1"/>
      <c r="E143" s="1"/>
      <c r="F143" s="2"/>
      <c r="G143" s="181" t="s">
        <v>82</v>
      </c>
      <c r="H143" s="154"/>
      <c r="I143" s="86" t="s">
        <v>83</v>
      </c>
      <c r="J143" s="86" t="s">
        <v>204</v>
      </c>
      <c r="K143" s="86" t="s">
        <v>205</v>
      </c>
      <c r="L143" s="1"/>
      <c r="M143" s="1"/>
      <c r="N143" s="1"/>
      <c r="O143" s="1"/>
    </row>
    <row r="144" spans="1:15" ht="15.75" customHeight="1" x14ac:dyDescent="0.25">
      <c r="A144" s="1"/>
      <c r="B144" s="1"/>
      <c r="C144" s="2"/>
      <c r="D144" s="1"/>
      <c r="E144" s="1"/>
      <c r="F144" s="2"/>
      <c r="G144" s="1"/>
      <c r="H144" s="5" t="s">
        <v>85</v>
      </c>
      <c r="I144" s="63">
        <v>4</v>
      </c>
      <c r="J144" s="63">
        <v>0</v>
      </c>
      <c r="K144" s="63">
        <v>4</v>
      </c>
      <c r="L144" s="1"/>
      <c r="M144" s="1"/>
      <c r="N144" s="1"/>
      <c r="O144" s="1"/>
    </row>
    <row r="145" spans="1:15" ht="15.75" customHeight="1" x14ac:dyDescent="0.25">
      <c r="A145" s="1"/>
      <c r="B145" s="1"/>
      <c r="C145" s="2"/>
      <c r="D145" s="1"/>
      <c r="E145" s="1"/>
      <c r="F145" s="2"/>
      <c r="G145" s="1"/>
      <c r="H145" s="5" t="s">
        <v>86</v>
      </c>
      <c r="I145" s="63">
        <v>2</v>
      </c>
      <c r="J145" s="63">
        <v>0</v>
      </c>
      <c r="K145" s="63">
        <v>0</v>
      </c>
      <c r="L145" s="1"/>
      <c r="M145" s="1"/>
      <c r="N145" s="1"/>
      <c r="O145" s="1"/>
    </row>
    <row r="146" spans="1:15" ht="15.75" customHeight="1" x14ac:dyDescent="0.25">
      <c r="A146" s="1"/>
      <c r="B146" s="1"/>
      <c r="C146" s="87" t="s">
        <v>87</v>
      </c>
      <c r="D146" s="88"/>
      <c r="E146" s="88"/>
      <c r="F146" s="2"/>
      <c r="G146" s="1"/>
      <c r="H146" s="5" t="s">
        <v>88</v>
      </c>
      <c r="I146" s="63">
        <v>3</v>
      </c>
      <c r="J146" s="63">
        <v>0</v>
      </c>
      <c r="K146" s="63">
        <v>0</v>
      </c>
      <c r="L146" s="1"/>
      <c r="M146" s="1"/>
      <c r="N146" s="1"/>
      <c r="O146" s="1"/>
    </row>
    <row r="147" spans="1:15" ht="31.5" customHeight="1" x14ac:dyDescent="0.25">
      <c r="A147" s="1"/>
      <c r="B147" s="1"/>
      <c r="C147" s="49" t="s">
        <v>89</v>
      </c>
      <c r="D147" s="49" t="s">
        <v>83</v>
      </c>
      <c r="E147" s="49" t="s">
        <v>204</v>
      </c>
      <c r="F147" s="49" t="s">
        <v>205</v>
      </c>
      <c r="G147" s="182" t="s">
        <v>90</v>
      </c>
      <c r="H147" s="162"/>
      <c r="I147" s="63">
        <v>0</v>
      </c>
      <c r="J147" s="63">
        <v>0</v>
      </c>
      <c r="K147" s="63">
        <v>0</v>
      </c>
      <c r="L147" s="1"/>
      <c r="M147" s="1"/>
      <c r="N147" s="1"/>
      <c r="O147" s="1"/>
    </row>
    <row r="148" spans="1:15" ht="28.5" customHeight="1" x14ac:dyDescent="0.25">
      <c r="A148" s="1"/>
      <c r="B148" s="1"/>
      <c r="C148" s="89" t="s">
        <v>91</v>
      </c>
      <c r="D148" s="63">
        <v>5</v>
      </c>
      <c r="E148" s="63">
        <v>7</v>
      </c>
      <c r="F148" s="63">
        <v>7</v>
      </c>
      <c r="G148" s="183" t="s">
        <v>92</v>
      </c>
      <c r="H148" s="162"/>
      <c r="I148" s="63">
        <v>0</v>
      </c>
      <c r="J148" s="63">
        <v>0</v>
      </c>
      <c r="K148" s="63">
        <v>0</v>
      </c>
      <c r="L148" s="1"/>
      <c r="M148" s="1"/>
      <c r="N148" s="1"/>
      <c r="O148" s="1"/>
    </row>
    <row r="149" spans="1:15" ht="15.75" customHeight="1" x14ac:dyDescent="0.25">
      <c r="A149" s="1"/>
      <c r="B149" s="1"/>
      <c r="C149" s="5" t="s">
        <v>93</v>
      </c>
      <c r="D149" s="63">
        <v>4</v>
      </c>
      <c r="E149" s="63">
        <v>4</v>
      </c>
      <c r="F149" s="63">
        <v>4</v>
      </c>
      <c r="G149" s="1"/>
      <c r="H149" s="5" t="s">
        <v>94</v>
      </c>
      <c r="I149" s="63">
        <v>0</v>
      </c>
      <c r="J149" s="63">
        <v>0</v>
      </c>
      <c r="K149" s="63">
        <v>0</v>
      </c>
      <c r="L149" s="1"/>
      <c r="M149" s="1"/>
      <c r="N149" s="1"/>
      <c r="O149" s="1"/>
    </row>
    <row r="150" spans="1:15" ht="15.75" customHeight="1" x14ac:dyDescent="0.25">
      <c r="A150" s="1"/>
      <c r="B150" s="1"/>
      <c r="C150" s="2"/>
      <c r="D150" s="1"/>
      <c r="E150" s="1"/>
      <c r="F150" s="1"/>
      <c r="G150" s="1"/>
      <c r="H150" s="5" t="s">
        <v>95</v>
      </c>
      <c r="I150" s="63">
        <v>0</v>
      </c>
      <c r="J150" s="63">
        <v>0</v>
      </c>
      <c r="K150" s="63">
        <v>0</v>
      </c>
      <c r="L150" s="1"/>
      <c r="M150" s="1"/>
      <c r="N150" s="1"/>
      <c r="O150" s="1"/>
    </row>
    <row r="151" spans="1:15" ht="15.75" customHeight="1" x14ac:dyDescent="0.25">
      <c r="A151" s="1"/>
      <c r="B151" s="1"/>
      <c r="C151" s="75" t="s">
        <v>96</v>
      </c>
      <c r="D151" s="49">
        <f>SUM(D148:D149)</f>
        <v>9</v>
      </c>
      <c r="E151" s="49">
        <f t="shared" ref="E151:F151" si="4">SUM(E148:E149)</f>
        <v>11</v>
      </c>
      <c r="F151" s="49">
        <f t="shared" si="4"/>
        <v>11</v>
      </c>
      <c r="G151" s="1"/>
      <c r="H151" s="5" t="s">
        <v>97</v>
      </c>
      <c r="I151" s="63">
        <v>0</v>
      </c>
      <c r="J151" s="63">
        <v>0</v>
      </c>
      <c r="K151" s="63">
        <v>8</v>
      </c>
      <c r="L151" s="1"/>
      <c r="M151" s="1"/>
      <c r="N151" s="1"/>
      <c r="O151" s="1"/>
    </row>
    <row r="152" spans="1:15" ht="15.75" customHeight="1" x14ac:dyDescent="0.25">
      <c r="A152" s="1"/>
      <c r="B152" s="1"/>
      <c r="C152" s="72" t="s">
        <v>18</v>
      </c>
      <c r="D152" s="90" t="s">
        <v>183</v>
      </c>
      <c r="E152" s="90" t="s">
        <v>98</v>
      </c>
      <c r="F152" s="90" t="s">
        <v>199</v>
      </c>
      <c r="G152" s="1"/>
      <c r="H152" s="5" t="s">
        <v>99</v>
      </c>
      <c r="I152" s="63">
        <v>0</v>
      </c>
      <c r="J152" s="63">
        <v>0</v>
      </c>
      <c r="K152" s="63">
        <v>0</v>
      </c>
      <c r="L152" s="1"/>
      <c r="M152" s="1"/>
      <c r="N152" s="1"/>
      <c r="O152" s="1"/>
    </row>
    <row r="153" spans="1:15" ht="15.75" customHeight="1" x14ac:dyDescent="0.25">
      <c r="A153" s="1"/>
      <c r="B153" s="1"/>
      <c r="C153" s="2"/>
      <c r="D153" s="1"/>
      <c r="E153" s="1"/>
      <c r="F153" s="1"/>
      <c r="G153" s="1"/>
      <c r="H153" s="5" t="s">
        <v>100</v>
      </c>
      <c r="I153" s="63">
        <v>0</v>
      </c>
      <c r="J153" s="63">
        <v>0</v>
      </c>
      <c r="K153" s="63">
        <v>0</v>
      </c>
      <c r="L153" s="1"/>
      <c r="M153" s="1"/>
      <c r="N153" s="1"/>
      <c r="O153" s="1"/>
    </row>
    <row r="154" spans="1:15" ht="15.75" customHeight="1" x14ac:dyDescent="0.25">
      <c r="A154" s="1"/>
      <c r="B154" s="1"/>
      <c r="C154" s="139" t="s">
        <v>101</v>
      </c>
      <c r="D154" s="92">
        <f>D151/100</f>
        <v>0.09</v>
      </c>
      <c r="E154" s="92">
        <f t="shared" ref="E154:F154" si="5">E151/100</f>
        <v>0.11</v>
      </c>
      <c r="F154" s="92">
        <f t="shared" si="5"/>
        <v>0.11</v>
      </c>
      <c r="G154" s="1"/>
      <c r="H154" s="1"/>
      <c r="I154" s="63"/>
      <c r="J154" s="63"/>
      <c r="K154" s="63"/>
      <c r="L154" s="1"/>
      <c r="M154" s="1"/>
      <c r="N154" s="1"/>
      <c r="O154" s="1"/>
    </row>
    <row r="155" spans="1:15" ht="15.75" customHeight="1" x14ac:dyDescent="0.25">
      <c r="A155" s="1"/>
      <c r="B155" s="1"/>
      <c r="C155" s="72" t="s">
        <v>18</v>
      </c>
      <c r="D155" s="90" t="s">
        <v>102</v>
      </c>
      <c r="E155" s="90" t="s">
        <v>103</v>
      </c>
      <c r="F155" s="90" t="s">
        <v>200</v>
      </c>
      <c r="G155" s="1"/>
      <c r="H155" s="75" t="s">
        <v>104</v>
      </c>
      <c r="I155" s="49">
        <f t="shared" ref="I155:J155" si="6">SUM(I144:I153)</f>
        <v>9</v>
      </c>
      <c r="J155" s="49">
        <f t="shared" si="6"/>
        <v>0</v>
      </c>
      <c r="K155" s="49">
        <f t="shared" ref="K155" si="7">SUM(K144:K153)</f>
        <v>12</v>
      </c>
      <c r="L155" s="1"/>
      <c r="M155" s="1"/>
      <c r="N155" s="1"/>
      <c r="O155" s="1"/>
    </row>
    <row r="156" spans="1:15" ht="15.75" customHeight="1" x14ac:dyDescent="0.25">
      <c r="A156" s="1"/>
      <c r="B156" s="1"/>
      <c r="C156" s="2"/>
      <c r="D156" s="1"/>
      <c r="E156" s="1"/>
      <c r="F156" s="2"/>
      <c r="G156" s="1"/>
      <c r="H156" s="72" t="s">
        <v>18</v>
      </c>
      <c r="I156" s="78" t="s">
        <v>201</v>
      </c>
      <c r="J156" s="78" t="s">
        <v>105</v>
      </c>
      <c r="K156" s="78" t="s">
        <v>105</v>
      </c>
      <c r="L156" s="1"/>
      <c r="M156" s="1"/>
      <c r="N156" s="1"/>
      <c r="O156" s="1"/>
    </row>
    <row r="157" spans="1:15" ht="15.75" customHeight="1" x14ac:dyDescent="0.25">
      <c r="A157" s="1"/>
      <c r="B157" s="1"/>
      <c r="C157" s="2"/>
      <c r="D157" s="1"/>
      <c r="E157" s="1"/>
      <c r="F157" s="2"/>
      <c r="G157" s="1"/>
      <c r="H157" s="1"/>
      <c r="I157" s="2"/>
      <c r="J157" s="1"/>
      <c r="K157" s="1"/>
      <c r="L157" s="1"/>
      <c r="M157" s="1"/>
      <c r="N157" s="1"/>
      <c r="O157" s="1"/>
    </row>
    <row r="158" spans="1:15" ht="15.75" customHeight="1" x14ac:dyDescent="0.25">
      <c r="A158" s="1"/>
      <c r="B158" s="1"/>
      <c r="C158" s="2"/>
      <c r="D158" s="1"/>
      <c r="E158" s="1"/>
      <c r="F158" s="2"/>
      <c r="G158" s="93"/>
      <c r="H158" s="94" t="s">
        <v>106</v>
      </c>
      <c r="I158" s="92">
        <f>I155/100</f>
        <v>0.09</v>
      </c>
      <c r="J158" s="92">
        <f t="shared" ref="J158:K158" si="8">J155/100</f>
        <v>0</v>
      </c>
      <c r="K158" s="92">
        <f t="shared" si="8"/>
        <v>0.12</v>
      </c>
      <c r="L158" s="1"/>
      <c r="M158" s="1"/>
      <c r="N158" s="1"/>
      <c r="O158" s="1"/>
    </row>
    <row r="159" spans="1:15" ht="15.75" customHeight="1" x14ac:dyDescent="0.25">
      <c r="A159" s="1"/>
      <c r="B159" s="1"/>
      <c r="C159" s="174" t="s">
        <v>107</v>
      </c>
      <c r="D159" s="153"/>
      <c r="E159" s="154"/>
      <c r="F159" s="66" t="s">
        <v>18</v>
      </c>
      <c r="G159" s="1"/>
      <c r="H159" s="72" t="s">
        <v>18</v>
      </c>
      <c r="I159" s="90" t="s">
        <v>108</v>
      </c>
      <c r="J159" s="90" t="s">
        <v>109</v>
      </c>
      <c r="K159" s="90" t="s">
        <v>202</v>
      </c>
      <c r="L159" s="1"/>
      <c r="M159" s="1"/>
      <c r="N159" s="1"/>
      <c r="O159" s="1"/>
    </row>
    <row r="160" spans="1:15" ht="15.75" customHeight="1" x14ac:dyDescent="0.25">
      <c r="A160" s="1"/>
      <c r="B160" s="1"/>
      <c r="C160" s="57" t="s">
        <v>9</v>
      </c>
      <c r="D160" s="95" t="s">
        <v>204</v>
      </c>
      <c r="E160" s="96">
        <f>E154+J158</f>
        <v>0.11</v>
      </c>
      <c r="F160" s="73" t="s">
        <v>110</v>
      </c>
      <c r="G160" s="1"/>
      <c r="H160" s="1"/>
      <c r="I160" s="2"/>
      <c r="J160" s="1"/>
      <c r="K160" s="1"/>
      <c r="L160" s="1"/>
      <c r="M160" s="1"/>
      <c r="N160" s="1"/>
      <c r="O160" s="1"/>
    </row>
    <row r="161" spans="1:15" ht="15.75" customHeight="1" x14ac:dyDescent="0.25">
      <c r="A161" s="1"/>
      <c r="B161" s="1"/>
      <c r="C161" s="57" t="s">
        <v>111</v>
      </c>
      <c r="D161" s="95" t="s">
        <v>83</v>
      </c>
      <c r="E161" s="96">
        <f>D154+I158</f>
        <v>0.18</v>
      </c>
      <c r="F161" s="73" t="s">
        <v>112</v>
      </c>
      <c r="G161" s="1"/>
      <c r="H161" s="1"/>
      <c r="I161" s="2"/>
      <c r="J161" s="1"/>
      <c r="K161" s="1"/>
      <c r="L161" s="1"/>
      <c r="M161" s="1"/>
      <c r="N161" s="1"/>
      <c r="O161" s="1"/>
    </row>
    <row r="162" spans="1:15" ht="15.75" customHeight="1" x14ac:dyDescent="0.25">
      <c r="A162" s="1"/>
      <c r="B162" s="1"/>
      <c r="C162" s="57" t="s">
        <v>11</v>
      </c>
      <c r="D162" s="95" t="s">
        <v>205</v>
      </c>
      <c r="E162" s="96">
        <f>F154+K158</f>
        <v>0.22999999999999998</v>
      </c>
      <c r="F162" s="73" t="s">
        <v>203</v>
      </c>
      <c r="G162" s="1"/>
      <c r="H162" s="1"/>
      <c r="I162" s="2"/>
      <c r="J162" s="1"/>
      <c r="K162" s="1"/>
      <c r="L162" s="1"/>
      <c r="M162" s="1"/>
      <c r="N162" s="1"/>
      <c r="O162" s="1"/>
    </row>
    <row r="163" spans="1:15" ht="15.75" customHeight="1" x14ac:dyDescent="0.25">
      <c r="A163" s="1"/>
      <c r="B163" s="1"/>
      <c r="C163" s="2"/>
      <c r="D163" s="1"/>
      <c r="E163" s="1"/>
      <c r="F163" s="2"/>
      <c r="G163" s="1"/>
      <c r="H163" s="1"/>
      <c r="I163" s="2"/>
      <c r="J163" s="1"/>
      <c r="K163" s="1"/>
      <c r="L163" s="1"/>
      <c r="M163" s="1"/>
      <c r="N163" s="1"/>
      <c r="O163" s="1"/>
    </row>
    <row r="164" spans="1:15" ht="15.75" customHeight="1" x14ac:dyDescent="0.25">
      <c r="A164" s="1"/>
      <c r="B164" s="1"/>
      <c r="C164" s="2"/>
      <c r="D164" s="1"/>
      <c r="E164" s="1"/>
      <c r="F164" s="2"/>
      <c r="G164" s="1"/>
      <c r="H164" s="1"/>
      <c r="I164" s="2"/>
      <c r="J164" s="1"/>
      <c r="K164" s="1"/>
      <c r="L164" s="1"/>
      <c r="M164" s="1"/>
      <c r="N164" s="1"/>
      <c r="O164" s="1"/>
    </row>
    <row r="165" spans="1:15" ht="15.75" customHeight="1" x14ac:dyDescent="0.25">
      <c r="A165" s="1"/>
      <c r="B165" s="1"/>
      <c r="C165" s="97"/>
      <c r="D165" s="98" t="s">
        <v>113</v>
      </c>
      <c r="E165" s="99" t="s">
        <v>114</v>
      </c>
      <c r="F165" s="100"/>
      <c r="G165" s="1"/>
      <c r="H165" s="1"/>
      <c r="I165" s="2"/>
      <c r="J165" s="1"/>
      <c r="K165" s="1"/>
      <c r="L165" s="1"/>
      <c r="M165" s="1"/>
      <c r="N165" s="1"/>
      <c r="O165" s="1"/>
    </row>
    <row r="166" spans="1:15" ht="15.75" customHeight="1" x14ac:dyDescent="0.25">
      <c r="A166" s="1"/>
      <c r="B166" s="1"/>
      <c r="C166" s="2"/>
      <c r="D166" s="1"/>
      <c r="E166" s="1"/>
      <c r="F166" s="2"/>
      <c r="G166" s="1"/>
      <c r="H166" s="1"/>
      <c r="I166" s="2"/>
      <c r="J166" s="1"/>
      <c r="K166" s="1"/>
      <c r="L166" s="1"/>
      <c r="M166" s="1"/>
      <c r="N166" s="1"/>
      <c r="O166" s="1"/>
    </row>
    <row r="167" spans="1:15" ht="15.75" customHeight="1" x14ac:dyDescent="0.25">
      <c r="A167" s="1"/>
      <c r="B167" s="1"/>
      <c r="C167" s="101"/>
      <c r="D167" s="175" t="s">
        <v>115</v>
      </c>
      <c r="E167" s="176"/>
      <c r="F167" s="102"/>
      <c r="G167" s="1"/>
      <c r="H167" s="1"/>
      <c r="I167" s="2"/>
      <c r="J167" s="1"/>
      <c r="K167" s="1"/>
      <c r="L167" s="1"/>
      <c r="M167" s="1"/>
      <c r="N167" s="1"/>
      <c r="O167" s="1"/>
    </row>
    <row r="168" spans="1:15" ht="15.75" customHeight="1" x14ac:dyDescent="0.25">
      <c r="A168" s="1"/>
      <c r="B168" s="1"/>
      <c r="C168" s="103" t="s">
        <v>9</v>
      </c>
      <c r="D168" s="104">
        <f>1+E160</f>
        <v>1.1100000000000001</v>
      </c>
      <c r="E168" s="105" t="s">
        <v>116</v>
      </c>
      <c r="F168" s="106"/>
      <c r="G168" s="1"/>
      <c r="H168" s="1"/>
      <c r="I168" s="2"/>
      <c r="J168" s="1"/>
      <c r="K168" s="1"/>
      <c r="L168" s="1"/>
      <c r="M168" s="1"/>
      <c r="N168" s="1"/>
      <c r="O168" s="1"/>
    </row>
    <row r="169" spans="1:15" ht="15.75" customHeight="1" x14ac:dyDescent="0.25">
      <c r="A169" s="1"/>
      <c r="B169" s="1"/>
      <c r="C169" s="103" t="s">
        <v>10</v>
      </c>
      <c r="D169" s="104">
        <f t="shared" ref="D169:D170" si="9">1+E161</f>
        <v>1.18</v>
      </c>
      <c r="E169" s="105" t="s">
        <v>117</v>
      </c>
      <c r="F169" s="106"/>
      <c r="G169" s="1"/>
      <c r="H169" s="1"/>
      <c r="I169" s="2"/>
      <c r="J169" s="1"/>
      <c r="K169" s="1"/>
      <c r="L169" s="1"/>
      <c r="M169" s="1"/>
      <c r="N169" s="1"/>
      <c r="O169" s="1"/>
    </row>
    <row r="170" spans="1:15" ht="15.75" customHeight="1" x14ac:dyDescent="0.25">
      <c r="A170" s="1"/>
      <c r="B170" s="1"/>
      <c r="C170" s="107" t="s">
        <v>11</v>
      </c>
      <c r="D170" s="108">
        <f t="shared" si="9"/>
        <v>1.23</v>
      </c>
      <c r="E170" s="109" t="s">
        <v>118</v>
      </c>
      <c r="F170" s="110"/>
      <c r="G170" s="1"/>
      <c r="H170" s="1"/>
      <c r="I170" s="2"/>
      <c r="J170" s="1"/>
      <c r="K170" s="1"/>
      <c r="L170" s="1"/>
      <c r="M170" s="1"/>
      <c r="N170" s="1"/>
      <c r="O170" s="1"/>
    </row>
    <row r="171" spans="1:15" ht="15.75" customHeight="1" x14ac:dyDescent="0.25">
      <c r="A171" s="1"/>
      <c r="B171" s="1"/>
      <c r="C171" s="2"/>
      <c r="D171" s="1"/>
      <c r="E171" s="1"/>
      <c r="F171" s="2"/>
      <c r="G171" s="1"/>
      <c r="H171" s="1"/>
      <c r="I171" s="2"/>
      <c r="J171" s="1"/>
      <c r="K171" s="1"/>
      <c r="L171" s="1"/>
      <c r="M171" s="1"/>
      <c r="N171" s="1"/>
      <c r="O171" s="1"/>
    </row>
    <row r="172" spans="1:15" ht="15.75" customHeight="1" x14ac:dyDescent="0.25">
      <c r="A172" s="1"/>
      <c r="B172" s="1"/>
      <c r="C172" s="2"/>
      <c r="D172" s="1"/>
      <c r="E172" s="1"/>
      <c r="F172" s="2"/>
      <c r="G172" s="1"/>
      <c r="H172" s="1"/>
      <c r="I172" s="2"/>
      <c r="J172" s="1"/>
      <c r="K172" s="1"/>
      <c r="L172" s="1"/>
      <c r="M172" s="1"/>
      <c r="N172" s="1"/>
      <c r="O172" s="1"/>
    </row>
    <row r="173" spans="1:15" ht="15.75" customHeight="1" x14ac:dyDescent="0.25">
      <c r="A173" s="1"/>
      <c r="B173" s="3" t="s">
        <v>119</v>
      </c>
      <c r="C173" s="4" t="s">
        <v>120</v>
      </c>
      <c r="D173" s="1"/>
      <c r="E173" s="1"/>
      <c r="F173" s="2"/>
      <c r="G173" s="1"/>
      <c r="H173" s="1"/>
      <c r="I173" s="2"/>
      <c r="J173" s="1"/>
      <c r="K173" s="1"/>
      <c r="L173" s="1"/>
      <c r="M173" s="1"/>
      <c r="N173" s="1"/>
      <c r="O173" s="1"/>
    </row>
    <row r="174" spans="1:15" ht="15.75" customHeight="1" x14ac:dyDescent="0.25">
      <c r="A174" s="1"/>
      <c r="B174" s="1"/>
      <c r="C174" s="2"/>
      <c r="D174" s="1"/>
      <c r="E174" s="1"/>
      <c r="F174" s="2"/>
      <c r="G174" s="1"/>
      <c r="H174" s="1"/>
      <c r="I174" s="2"/>
      <c r="J174" s="1"/>
      <c r="K174" s="1"/>
      <c r="L174" s="1"/>
      <c r="M174" s="1"/>
      <c r="N174" s="1"/>
      <c r="O174" s="1"/>
    </row>
    <row r="175" spans="1:15" ht="15.75" customHeight="1" x14ac:dyDescent="0.25">
      <c r="A175" s="1"/>
      <c r="B175" s="1"/>
      <c r="C175" s="111"/>
      <c r="D175" s="112" t="s">
        <v>121</v>
      </c>
      <c r="E175" s="113" t="s">
        <v>122</v>
      </c>
      <c r="F175" s="114"/>
      <c r="G175" s="115"/>
      <c r="H175" s="116"/>
      <c r="I175" s="2"/>
      <c r="J175" s="1"/>
      <c r="K175" s="1"/>
      <c r="L175" s="1"/>
      <c r="M175" s="1"/>
      <c r="N175" s="1"/>
      <c r="O175" s="1"/>
    </row>
    <row r="176" spans="1:15" ht="15.75" customHeight="1" x14ac:dyDescent="0.25">
      <c r="A176" s="1"/>
      <c r="B176" s="1"/>
      <c r="C176" s="2"/>
      <c r="D176" s="1"/>
      <c r="E176" s="1"/>
      <c r="F176" s="2"/>
      <c r="G176" s="1"/>
      <c r="H176" s="1"/>
      <c r="I176" s="2"/>
      <c r="J176" s="1"/>
      <c r="K176" s="1"/>
      <c r="L176" s="1"/>
      <c r="M176" s="1"/>
      <c r="N176" s="1"/>
      <c r="O176" s="1"/>
    </row>
    <row r="177" spans="1:15" ht="15.75" customHeight="1" x14ac:dyDescent="0.25">
      <c r="A177" s="1"/>
      <c r="B177" s="1"/>
      <c r="C177" s="2"/>
      <c r="D177" s="1"/>
      <c r="E177" s="1"/>
      <c r="F177" s="2"/>
      <c r="G177" s="1"/>
      <c r="H177" s="1"/>
      <c r="I177" s="2"/>
      <c r="J177" s="1"/>
      <c r="K177" s="1"/>
      <c r="L177" s="1"/>
      <c r="M177" s="1"/>
      <c r="N177" s="1"/>
      <c r="O177" s="1"/>
    </row>
    <row r="178" spans="1:15" ht="15.75" customHeight="1" x14ac:dyDescent="0.25">
      <c r="A178" s="1"/>
      <c r="B178" s="1"/>
      <c r="C178" s="1"/>
      <c r="D178" s="117" t="s">
        <v>123</v>
      </c>
      <c r="E178" s="173" t="s">
        <v>115</v>
      </c>
      <c r="F178" s="171"/>
      <c r="G178" s="179" t="s">
        <v>124</v>
      </c>
      <c r="H178" s="151"/>
      <c r="I178" s="66" t="s">
        <v>18</v>
      </c>
      <c r="J178" s="1"/>
      <c r="K178" s="1"/>
      <c r="L178" s="1"/>
      <c r="M178" s="1"/>
      <c r="N178" s="1"/>
      <c r="O178" s="1"/>
    </row>
    <row r="179" spans="1:15" ht="15.75" customHeight="1" x14ac:dyDescent="0.25">
      <c r="A179" s="1"/>
      <c r="B179" s="1"/>
      <c r="C179" s="118" t="s">
        <v>9</v>
      </c>
      <c r="D179" s="119">
        <f>G117</f>
        <v>0.99395999999999995</v>
      </c>
      <c r="E179" s="120">
        <f t="shared" ref="E179:E181" si="10">D168</f>
        <v>1.1100000000000001</v>
      </c>
      <c r="F179" s="26" t="s">
        <v>125</v>
      </c>
      <c r="G179" s="121">
        <f t="shared" ref="G179:G181" si="11">D179*E179</f>
        <v>1.1032956</v>
      </c>
      <c r="H179" s="122" t="s">
        <v>21</v>
      </c>
      <c r="I179" s="73" t="s">
        <v>126</v>
      </c>
      <c r="J179" s="1"/>
      <c r="K179" s="1"/>
      <c r="L179" s="1"/>
      <c r="M179" s="1"/>
      <c r="N179" s="1"/>
      <c r="O179" s="1"/>
    </row>
    <row r="180" spans="1:15" ht="15.75" customHeight="1" x14ac:dyDescent="0.25">
      <c r="A180" s="1"/>
      <c r="B180" s="1"/>
      <c r="C180" s="123" t="s">
        <v>10</v>
      </c>
      <c r="D180" s="124">
        <f t="shared" ref="D179:D181" si="12">G118</f>
        <v>2.3026799999999996</v>
      </c>
      <c r="E180" s="125">
        <f t="shared" si="10"/>
        <v>1.18</v>
      </c>
      <c r="F180" s="126" t="s">
        <v>125</v>
      </c>
      <c r="G180" s="121">
        <f t="shared" si="11"/>
        <v>2.7171623999999994</v>
      </c>
      <c r="H180" s="122" t="s">
        <v>21</v>
      </c>
      <c r="I180" s="73" t="s">
        <v>127</v>
      </c>
      <c r="J180" s="1"/>
      <c r="K180" s="1"/>
      <c r="L180" s="1"/>
      <c r="M180" s="1"/>
      <c r="N180" s="1"/>
      <c r="O180" s="1"/>
    </row>
    <row r="181" spans="1:15" ht="15.75" customHeight="1" x14ac:dyDescent="0.25">
      <c r="A181" s="1"/>
      <c r="B181" s="1"/>
      <c r="C181" s="127" t="s">
        <v>11</v>
      </c>
      <c r="D181" s="128">
        <f t="shared" si="12"/>
        <v>2.2779899999999995</v>
      </c>
      <c r="E181" s="129">
        <f t="shared" si="10"/>
        <v>1.23</v>
      </c>
      <c r="F181" s="130" t="s">
        <v>125</v>
      </c>
      <c r="G181" s="131">
        <f t="shared" si="11"/>
        <v>2.8019276999999994</v>
      </c>
      <c r="H181" s="132" t="s">
        <v>21</v>
      </c>
      <c r="I181" s="73" t="s">
        <v>128</v>
      </c>
      <c r="J181" s="1"/>
      <c r="K181" s="1"/>
      <c r="L181" s="1"/>
      <c r="M181" s="1"/>
      <c r="N181" s="1"/>
      <c r="O181" s="1"/>
    </row>
    <row r="182" spans="1:15" ht="15.75" customHeight="1" x14ac:dyDescent="0.25">
      <c r="A182" s="1"/>
      <c r="B182" s="1"/>
      <c r="C182" s="2"/>
      <c r="D182" s="1"/>
      <c r="E182" s="1"/>
      <c r="F182" s="2"/>
      <c r="G182" s="1"/>
      <c r="H182" s="1"/>
      <c r="I182" s="2"/>
      <c r="J182" s="1"/>
      <c r="K182" s="1"/>
      <c r="L182" s="1"/>
      <c r="M182" s="1"/>
      <c r="N182" s="1"/>
      <c r="O182" s="1"/>
    </row>
    <row r="183" spans="1:15" ht="15.75" customHeight="1" x14ac:dyDescent="0.25">
      <c r="A183" s="1"/>
      <c r="B183" s="1"/>
      <c r="C183" s="2"/>
      <c r="D183" s="133" t="s">
        <v>129</v>
      </c>
      <c r="E183" s="133"/>
      <c r="F183" s="134"/>
      <c r="G183" s="135">
        <f>G179+G180+G181</f>
        <v>6.6223856999999988</v>
      </c>
      <c r="H183" s="133" t="s">
        <v>21</v>
      </c>
      <c r="I183" s="73" t="s">
        <v>130</v>
      </c>
      <c r="J183" s="1"/>
      <c r="K183" s="1"/>
      <c r="L183" s="1"/>
      <c r="M183" s="1"/>
      <c r="N183" s="1"/>
      <c r="O183" s="1"/>
    </row>
    <row r="184" spans="1:15" ht="15.75" customHeight="1" x14ac:dyDescent="0.25">
      <c r="A184" s="1"/>
      <c r="B184" s="1"/>
      <c r="C184" s="2"/>
      <c r="D184" s="1"/>
      <c r="E184" s="1"/>
      <c r="F184" s="2"/>
      <c r="G184" s="1"/>
      <c r="H184" s="1"/>
      <c r="I184" s="2"/>
      <c r="J184" s="1"/>
      <c r="K184" s="1"/>
      <c r="L184" s="1"/>
      <c r="M184" s="1"/>
      <c r="N184" s="1"/>
      <c r="O184" s="1"/>
    </row>
    <row r="185" spans="1:15" ht="15.75" customHeight="1" x14ac:dyDescent="0.25">
      <c r="A185" s="1"/>
      <c r="B185" s="1"/>
      <c r="C185" s="4" t="s">
        <v>131</v>
      </c>
      <c r="D185" s="1"/>
      <c r="E185" s="1"/>
      <c r="F185" s="2"/>
      <c r="G185" s="1"/>
      <c r="H185" s="1"/>
      <c r="I185" s="2"/>
      <c r="J185" s="1"/>
      <c r="K185" s="1"/>
      <c r="L185" s="1"/>
      <c r="M185" s="1"/>
      <c r="N185" s="1"/>
      <c r="O185" s="1"/>
    </row>
    <row r="186" spans="1:15" ht="15.75" customHeight="1" x14ac:dyDescent="0.25">
      <c r="A186" s="1"/>
      <c r="B186" s="1"/>
      <c r="C186" s="2"/>
      <c r="D186" s="55" t="s">
        <v>132</v>
      </c>
      <c r="E186" s="1"/>
      <c r="F186" s="2"/>
      <c r="G186" s="1"/>
      <c r="H186" s="1"/>
      <c r="I186" s="2"/>
      <c r="J186" s="1"/>
      <c r="K186" s="1"/>
      <c r="L186" s="1"/>
      <c r="M186" s="1"/>
      <c r="N186" s="1"/>
      <c r="O186" s="1"/>
    </row>
    <row r="187" spans="1:15" ht="15.75" customHeight="1" x14ac:dyDescent="0.25">
      <c r="A187" s="1"/>
      <c r="B187" s="1"/>
      <c r="C187" s="2"/>
      <c r="D187" s="55" t="s">
        <v>133</v>
      </c>
      <c r="E187" s="1"/>
      <c r="F187" s="2"/>
      <c r="G187" s="1"/>
      <c r="H187" s="1"/>
      <c r="I187" s="2"/>
      <c r="J187" s="1"/>
      <c r="K187" s="1"/>
      <c r="L187" s="1"/>
      <c r="M187" s="1"/>
      <c r="N187" s="1"/>
      <c r="O187" s="1"/>
    </row>
    <row r="188" spans="1:15" ht="15.75" customHeight="1" x14ac:dyDescent="0.25">
      <c r="A188" s="1"/>
      <c r="B188" s="1"/>
      <c r="C188" s="2"/>
      <c r="D188" s="55" t="s">
        <v>134</v>
      </c>
      <c r="E188" s="1"/>
      <c r="F188" s="2"/>
      <c r="G188" s="1"/>
      <c r="H188" s="1"/>
      <c r="I188" s="2"/>
      <c r="J188" s="1"/>
      <c r="K188" s="1"/>
      <c r="L188" s="1"/>
      <c r="M188" s="1"/>
      <c r="N188" s="1"/>
      <c r="O188" s="1"/>
    </row>
    <row r="189" spans="1:15" ht="15.75" customHeight="1" x14ac:dyDescent="0.25">
      <c r="A189" s="1"/>
      <c r="B189" s="1"/>
      <c r="C189" s="2"/>
      <c r="D189" s="55" t="s">
        <v>135</v>
      </c>
      <c r="E189" s="1"/>
      <c r="F189" s="2"/>
      <c r="G189" s="1"/>
      <c r="H189" s="1"/>
      <c r="I189" s="2"/>
      <c r="J189" s="1"/>
      <c r="K189" s="1"/>
      <c r="L189" s="1"/>
      <c r="M189" s="1"/>
      <c r="N189" s="1"/>
      <c r="O189" s="1"/>
    </row>
    <row r="190" spans="1:15" ht="15.75" customHeight="1" x14ac:dyDescent="0.25">
      <c r="A190" s="1"/>
      <c r="B190" s="1"/>
      <c r="C190" s="2"/>
      <c r="D190" s="55" t="s">
        <v>136</v>
      </c>
      <c r="E190" s="1"/>
      <c r="F190" s="2"/>
      <c r="G190" s="1"/>
      <c r="H190" s="1"/>
      <c r="I190" s="2"/>
      <c r="J190" s="1"/>
      <c r="K190" s="1"/>
      <c r="L190" s="1"/>
      <c r="M190" s="1"/>
      <c r="N190" s="1"/>
      <c r="O190" s="1"/>
    </row>
    <row r="191" spans="1:15" ht="15.75" customHeight="1" x14ac:dyDescent="0.25">
      <c r="A191" s="1"/>
      <c r="B191" s="1"/>
      <c r="C191" s="2"/>
      <c r="D191" s="55" t="s">
        <v>137</v>
      </c>
      <c r="E191" s="1"/>
      <c r="F191" s="2"/>
      <c r="G191" s="1"/>
      <c r="H191" s="1"/>
      <c r="I191" s="2"/>
      <c r="J191" s="1"/>
      <c r="K191" s="1"/>
      <c r="L191" s="1"/>
      <c r="M191" s="1"/>
      <c r="N191" s="1"/>
      <c r="O191" s="1"/>
    </row>
    <row r="192" spans="1:15" ht="15.75" customHeight="1" x14ac:dyDescent="0.25">
      <c r="A192" s="1"/>
      <c r="B192" s="1"/>
      <c r="C192" s="2"/>
      <c r="D192" s="1"/>
      <c r="E192" s="1"/>
      <c r="F192" s="2"/>
      <c r="G192" s="1"/>
      <c r="H192" s="1"/>
      <c r="I192" s="2"/>
      <c r="J192" s="1"/>
      <c r="K192" s="1"/>
      <c r="L192" s="1"/>
      <c r="M192" s="1"/>
      <c r="N192" s="1"/>
      <c r="O192" s="1"/>
    </row>
    <row r="193" spans="1:15" ht="15.75" customHeight="1" x14ac:dyDescent="0.25">
      <c r="A193" s="1"/>
      <c r="B193" s="1"/>
      <c r="C193" s="4" t="s">
        <v>138</v>
      </c>
      <c r="D193" s="1"/>
      <c r="E193" s="1"/>
      <c r="F193" s="2"/>
      <c r="G193" s="1"/>
      <c r="H193" s="1"/>
      <c r="I193" s="2"/>
      <c r="J193" s="1"/>
      <c r="K193" s="1"/>
      <c r="L193" s="1"/>
      <c r="M193" s="1"/>
      <c r="N193" s="1"/>
      <c r="O193" s="1"/>
    </row>
    <row r="195" spans="1:15" ht="15" customHeight="1" x14ac:dyDescent="0.25">
      <c r="C195" s="190" t="s">
        <v>206</v>
      </c>
      <c r="D195" s="191"/>
      <c r="E195" s="191"/>
      <c r="F195" s="192"/>
      <c r="G195" s="189" t="s">
        <v>210</v>
      </c>
      <c r="H195" s="189" t="s">
        <v>211</v>
      </c>
      <c r="I195" s="189" t="s">
        <v>212</v>
      </c>
      <c r="J195" s="138"/>
    </row>
    <row r="196" spans="1:15" ht="15" customHeight="1" x14ac:dyDescent="0.25">
      <c r="C196" s="188" t="s">
        <v>207</v>
      </c>
      <c r="D196" s="188"/>
      <c r="E196" s="188"/>
      <c r="F196" s="188"/>
      <c r="G196" s="193">
        <f>G179</f>
        <v>1.1032956</v>
      </c>
      <c r="H196" s="193">
        <f>G180</f>
        <v>2.7171623999999994</v>
      </c>
      <c r="I196" s="193">
        <f>G181</f>
        <v>2.8019276999999994</v>
      </c>
      <c r="J196" s="138"/>
    </row>
    <row r="197" spans="1:15" ht="15" customHeight="1" x14ac:dyDescent="0.25">
      <c r="C197" s="188" t="s">
        <v>208</v>
      </c>
      <c r="D197" s="188"/>
      <c r="E197" s="188"/>
      <c r="F197" s="188"/>
      <c r="G197" s="193">
        <f>SUM(G196:I196)</f>
        <v>6.6223856999999988</v>
      </c>
      <c r="H197" s="138"/>
      <c r="I197" s="138"/>
      <c r="J197" s="138"/>
    </row>
    <row r="198" spans="1:15" ht="15" customHeight="1" x14ac:dyDescent="0.25">
      <c r="C198" s="194" t="s">
        <v>209</v>
      </c>
      <c r="D198" s="194"/>
      <c r="E198" s="194"/>
      <c r="F198" s="195"/>
      <c r="G198" s="196"/>
      <c r="H198" s="196"/>
      <c r="I198" s="196"/>
      <c r="J198" s="196"/>
    </row>
    <row r="199" spans="1:15" ht="15" customHeight="1" x14ac:dyDescent="0.25">
      <c r="C199" s="187" t="s">
        <v>213</v>
      </c>
      <c r="D199" s="187"/>
      <c r="E199" s="193">
        <f>60/G197</f>
        <v>9.0601790227953671</v>
      </c>
      <c r="F199" s="197" t="s">
        <v>218</v>
      </c>
      <c r="G199" s="197"/>
      <c r="H199" s="197"/>
      <c r="I199" s="197"/>
      <c r="J199" s="197"/>
    </row>
    <row r="200" spans="1:15" ht="15" customHeight="1" x14ac:dyDescent="0.25">
      <c r="C200" s="138"/>
      <c r="D200" s="138"/>
      <c r="E200" s="186" t="s">
        <v>217</v>
      </c>
      <c r="F200" s="197"/>
      <c r="G200" s="197"/>
      <c r="H200" s="197"/>
      <c r="I200" s="197"/>
      <c r="J200" s="197"/>
    </row>
    <row r="201" spans="1:15" ht="15" customHeight="1" x14ac:dyDescent="0.25">
      <c r="C201" s="187" t="s">
        <v>214</v>
      </c>
      <c r="D201" s="187"/>
      <c r="E201" s="199">
        <f>480/G197</f>
        <v>72.481432182362937</v>
      </c>
      <c r="F201" s="198" t="s">
        <v>215</v>
      </c>
      <c r="G201" s="198"/>
      <c r="H201" s="198"/>
      <c r="I201" s="198"/>
      <c r="J201" s="198"/>
    </row>
    <row r="202" spans="1:15" ht="15" customHeight="1" x14ac:dyDescent="0.25">
      <c r="C202" s="138"/>
      <c r="D202" s="138"/>
      <c r="E202" s="186" t="s">
        <v>216</v>
      </c>
      <c r="F202" s="198"/>
      <c r="G202" s="198"/>
      <c r="H202" s="198"/>
      <c r="I202" s="198"/>
      <c r="J202" s="198"/>
    </row>
    <row r="203" spans="1:15" ht="15" customHeight="1" x14ac:dyDescent="0.25">
      <c r="C203" s="138"/>
      <c r="D203" s="138"/>
      <c r="E203" s="138"/>
      <c r="F203" s="138"/>
      <c r="G203" s="138"/>
      <c r="H203" s="138"/>
      <c r="I203" s="138"/>
      <c r="J203" s="138"/>
    </row>
    <row r="204" spans="1:15" ht="15" customHeight="1" x14ac:dyDescent="0.25">
      <c r="C204" s="138"/>
      <c r="D204" s="138"/>
      <c r="E204" s="138"/>
      <c r="F204" s="138"/>
      <c r="G204" s="138"/>
      <c r="H204" s="138"/>
      <c r="I204" s="138"/>
      <c r="J204" s="138"/>
    </row>
    <row r="205" spans="1:15" ht="15" customHeight="1" x14ac:dyDescent="0.25">
      <c r="C205" s="203" t="s">
        <v>221</v>
      </c>
      <c r="D205" s="203"/>
      <c r="E205" s="203"/>
      <c r="F205" s="203"/>
      <c r="G205" s="203"/>
      <c r="H205" s="203"/>
      <c r="I205" s="203"/>
      <c r="J205" s="203"/>
    </row>
    <row r="206" spans="1:15" ht="15" customHeight="1" x14ac:dyDescent="0.25">
      <c r="C206" s="203"/>
      <c r="D206" s="203"/>
      <c r="E206" s="203"/>
      <c r="F206" s="203"/>
      <c r="G206" s="203"/>
      <c r="H206" s="203"/>
      <c r="I206" s="203"/>
      <c r="J206" s="203"/>
    </row>
    <row r="207" spans="1:15" ht="15" customHeight="1" x14ac:dyDescent="0.25">
      <c r="C207" s="200" t="s">
        <v>219</v>
      </c>
      <c r="D207" s="201"/>
      <c r="E207" s="201"/>
      <c r="F207" s="201"/>
      <c r="G207" s="201"/>
      <c r="H207" s="201"/>
      <c r="I207" s="201"/>
      <c r="J207" s="201"/>
    </row>
    <row r="208" spans="1:15" ht="15" customHeight="1" x14ac:dyDescent="0.25">
      <c r="C208" s="202"/>
      <c r="D208" s="202"/>
      <c r="E208" s="202"/>
      <c r="F208" s="202"/>
      <c r="G208" s="202"/>
      <c r="H208" s="202"/>
      <c r="I208" s="202"/>
      <c r="J208" s="202"/>
    </row>
    <row r="209" spans="3:10" ht="15" customHeight="1" x14ac:dyDescent="0.25">
      <c r="C209" s="202"/>
      <c r="D209" s="202"/>
      <c r="E209" s="202"/>
      <c r="F209" s="202"/>
      <c r="G209" s="202"/>
      <c r="H209" s="202"/>
      <c r="I209" s="202"/>
      <c r="J209" s="202"/>
    </row>
    <row r="210" spans="3:10" ht="15" customHeight="1" x14ac:dyDescent="0.25">
      <c r="C210" s="204" t="s">
        <v>220</v>
      </c>
      <c r="D210" s="204"/>
      <c r="E210" s="204"/>
      <c r="F210" s="204"/>
      <c r="G210" s="204"/>
      <c r="H210" s="204"/>
      <c r="I210" s="204"/>
      <c r="J210" s="204"/>
    </row>
    <row r="211" spans="3:10" ht="15" customHeight="1" x14ac:dyDescent="0.25">
      <c r="C211" s="197" t="s">
        <v>222</v>
      </c>
      <c r="D211" s="205"/>
      <c r="E211" s="205"/>
      <c r="F211" s="205"/>
      <c r="G211" s="205"/>
      <c r="H211" s="205"/>
      <c r="I211" s="205"/>
      <c r="J211" s="205"/>
    </row>
    <row r="212" spans="3:10" ht="15" customHeight="1" x14ac:dyDescent="0.25">
      <c r="C212" s="205"/>
      <c r="D212" s="205"/>
      <c r="E212" s="205"/>
      <c r="F212" s="205"/>
      <c r="G212" s="205"/>
      <c r="H212" s="205"/>
      <c r="I212" s="205"/>
      <c r="J212" s="205"/>
    </row>
    <row r="213" spans="3:10" ht="15" customHeight="1" x14ac:dyDescent="0.25">
      <c r="C213" s="205"/>
      <c r="D213" s="205"/>
      <c r="E213" s="205"/>
      <c r="F213" s="205"/>
      <c r="G213" s="205"/>
      <c r="H213" s="205"/>
      <c r="I213" s="205"/>
      <c r="J213" s="205"/>
    </row>
    <row r="214" spans="3:10" ht="15" customHeight="1" x14ac:dyDescent="0.25">
      <c r="C214" s="205"/>
      <c r="D214" s="205"/>
      <c r="E214" s="205"/>
      <c r="F214" s="205"/>
      <c r="G214" s="205"/>
      <c r="H214" s="205"/>
      <c r="I214" s="205"/>
      <c r="J214" s="205"/>
    </row>
    <row r="215" spans="3:10" ht="15" customHeight="1" x14ac:dyDescent="0.25">
      <c r="C215" s="205"/>
      <c r="D215" s="205"/>
      <c r="E215" s="205"/>
      <c r="F215" s="205"/>
      <c r="G215" s="205"/>
      <c r="H215" s="205"/>
      <c r="I215" s="205"/>
      <c r="J215" s="205"/>
    </row>
    <row r="216" spans="3:10" ht="15" customHeight="1" x14ac:dyDescent="0.25">
      <c r="C216" s="205"/>
      <c r="D216" s="205"/>
      <c r="E216" s="205"/>
      <c r="F216" s="205"/>
      <c r="G216" s="205"/>
      <c r="H216" s="205"/>
      <c r="I216" s="205"/>
      <c r="J216" s="205"/>
    </row>
    <row r="217" spans="3:10" ht="15" customHeight="1" x14ac:dyDescent="0.25">
      <c r="C217" s="205"/>
      <c r="D217" s="205"/>
      <c r="E217" s="205"/>
      <c r="F217" s="205"/>
      <c r="G217" s="205"/>
      <c r="H217" s="205"/>
      <c r="I217" s="205"/>
      <c r="J217" s="205"/>
    </row>
  </sheetData>
  <mergeCells count="70">
    <mergeCell ref="C207:J209"/>
    <mergeCell ref="C210:J210"/>
    <mergeCell ref="C211:J217"/>
    <mergeCell ref="C199:D199"/>
    <mergeCell ref="F199:J200"/>
    <mergeCell ref="C201:D201"/>
    <mergeCell ref="F201:J202"/>
    <mergeCell ref="C205:J206"/>
    <mergeCell ref="G5:I5"/>
    <mergeCell ref="G6:I6"/>
    <mergeCell ref="C195:F195"/>
    <mergeCell ref="C196:F196"/>
    <mergeCell ref="C197:F197"/>
    <mergeCell ref="D63:E63"/>
    <mergeCell ref="G63:H63"/>
    <mergeCell ref="E78:E79"/>
    <mergeCell ref="C42:E42"/>
    <mergeCell ref="I78:I79"/>
    <mergeCell ref="E178:F178"/>
    <mergeCell ref="G78:G79"/>
    <mergeCell ref="H78:H79"/>
    <mergeCell ref="C159:E159"/>
    <mergeCell ref="D167:E167"/>
    <mergeCell ref="G116:H116"/>
    <mergeCell ref="G124:K129"/>
    <mergeCell ref="G131:K137"/>
    <mergeCell ref="J78:J79"/>
    <mergeCell ref="G178:H178"/>
    <mergeCell ref="G139:K142"/>
    <mergeCell ref="G143:H143"/>
    <mergeCell ref="G147:H147"/>
    <mergeCell ref="G148:H148"/>
    <mergeCell ref="K78:K79"/>
    <mergeCell ref="C11:E11"/>
    <mergeCell ref="F11:H11"/>
    <mergeCell ref="I11:K11"/>
    <mergeCell ref="D12:E12"/>
    <mergeCell ref="G12:H12"/>
    <mergeCell ref="J12:K12"/>
    <mergeCell ref="A1:O1"/>
    <mergeCell ref="C78:C79"/>
    <mergeCell ref="D78:D79"/>
    <mergeCell ref="F78:F79"/>
    <mergeCell ref="C85:O86"/>
    <mergeCell ref="C52:K53"/>
    <mergeCell ref="F42:H42"/>
    <mergeCell ref="I42:K42"/>
    <mergeCell ref="J63:K63"/>
    <mergeCell ref="H55:O59"/>
    <mergeCell ref="I62:K62"/>
    <mergeCell ref="C62:E62"/>
    <mergeCell ref="F62:H62"/>
    <mergeCell ref="C37:E37"/>
    <mergeCell ref="F37:H37"/>
    <mergeCell ref="I37:K37"/>
    <mergeCell ref="C41:E41"/>
    <mergeCell ref="F41:H41"/>
    <mergeCell ref="I41:K41"/>
    <mergeCell ref="I27:I28"/>
    <mergeCell ref="J27:J28"/>
    <mergeCell ref="K27:K28"/>
    <mergeCell ref="C36:E36"/>
    <mergeCell ref="F36:H36"/>
    <mergeCell ref="I36:K36"/>
    <mergeCell ref="C27:C28"/>
    <mergeCell ref="D27:D28"/>
    <mergeCell ref="E27:E28"/>
    <mergeCell ref="F27:F28"/>
    <mergeCell ref="G27:G28"/>
    <mergeCell ref="H27:H28"/>
  </mergeCells>
  <phoneticPr fontId="17" type="noConversion"/>
  <pageMargins left="0.75" right="0.75" top="1" bottom="1"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9"/>
  <sheetViews>
    <sheetView showGridLines="0" topLeftCell="A50" workbookViewId="0">
      <selection activeCell="C183" sqref="C183:J194"/>
    </sheetView>
  </sheetViews>
  <sheetFormatPr baseColWidth="10" defaultColWidth="12.625" defaultRowHeight="15" customHeight="1" x14ac:dyDescent="0.25"/>
  <cols>
    <col min="1" max="2" width="10.875" customWidth="1"/>
    <col min="3" max="3" width="14.625" customWidth="1"/>
    <col min="4" max="4" width="13.625" customWidth="1"/>
    <col min="5" max="5" width="11.5" customWidth="1"/>
    <col min="6" max="6" width="15.875" customWidth="1"/>
    <col min="7" max="7" width="14.625" customWidth="1"/>
    <col min="8" max="8" width="10.875" customWidth="1"/>
    <col min="9" max="9" width="14.625" customWidth="1"/>
    <col min="10" max="10" width="13.625" customWidth="1"/>
    <col min="11" max="15" width="10.875" customWidth="1"/>
  </cols>
  <sheetData>
    <row r="1" spans="1:15" ht="23.25" x14ac:dyDescent="0.25">
      <c r="A1" s="152" t="s">
        <v>0</v>
      </c>
      <c r="B1" s="153"/>
      <c r="C1" s="153"/>
      <c r="D1" s="153"/>
      <c r="E1" s="153"/>
      <c r="F1" s="153"/>
      <c r="G1" s="153"/>
      <c r="H1" s="153"/>
      <c r="I1" s="153"/>
      <c r="J1" s="153"/>
      <c r="K1" s="153"/>
      <c r="L1" s="153"/>
      <c r="M1" s="153"/>
      <c r="N1" s="153"/>
      <c r="O1" s="154"/>
    </row>
    <row r="2" spans="1:15" ht="15.75" x14ac:dyDescent="0.25">
      <c r="A2" s="1"/>
      <c r="B2" s="1"/>
      <c r="C2" s="2"/>
      <c r="D2" s="1"/>
      <c r="E2" s="1"/>
      <c r="F2" s="2"/>
      <c r="G2" s="1"/>
      <c r="H2" s="1"/>
      <c r="I2" s="2"/>
      <c r="J2" s="1"/>
      <c r="K2" s="1"/>
      <c r="L2" s="1"/>
      <c r="M2" s="1"/>
      <c r="N2" s="1"/>
      <c r="O2" s="1"/>
    </row>
    <row r="3" spans="1:15" ht="15.75" x14ac:dyDescent="0.25">
      <c r="A3" s="1"/>
      <c r="B3" s="3" t="s">
        <v>1</v>
      </c>
      <c r="C3" s="4" t="s">
        <v>2</v>
      </c>
      <c r="D3" s="1"/>
      <c r="E3" s="1"/>
      <c r="F3" s="2"/>
      <c r="G3" s="1"/>
      <c r="H3" s="1"/>
      <c r="I3" s="2"/>
      <c r="J3" s="1"/>
      <c r="K3" s="1"/>
      <c r="L3" s="1"/>
      <c r="M3" s="1"/>
      <c r="N3" s="1"/>
      <c r="O3" s="1"/>
    </row>
    <row r="4" spans="1:15" ht="15.75" x14ac:dyDescent="0.25">
      <c r="A4" s="1"/>
      <c r="B4" s="1"/>
      <c r="C4" s="5" t="s">
        <v>3</v>
      </c>
      <c r="D4" s="1" t="s">
        <v>4</v>
      </c>
      <c r="E4" s="1"/>
      <c r="F4" s="2"/>
      <c r="G4" s="1"/>
      <c r="H4" s="1"/>
      <c r="I4" s="2"/>
      <c r="J4" s="1"/>
      <c r="K4" s="1"/>
      <c r="L4" s="1"/>
      <c r="M4" s="1"/>
      <c r="N4" s="1"/>
      <c r="O4" s="1"/>
    </row>
    <row r="5" spans="1:15" ht="15.75" x14ac:dyDescent="0.25">
      <c r="A5" s="1"/>
      <c r="B5" s="1"/>
      <c r="C5" s="5" t="s">
        <v>5</v>
      </c>
      <c r="D5" s="1" t="s">
        <v>6</v>
      </c>
      <c r="E5" s="1"/>
      <c r="F5" s="2"/>
      <c r="G5" s="1"/>
      <c r="H5" s="1"/>
      <c r="I5" s="2"/>
      <c r="J5" s="1"/>
      <c r="K5" s="1"/>
      <c r="L5" s="1"/>
      <c r="M5" s="1"/>
      <c r="N5" s="1"/>
      <c r="O5" s="1"/>
    </row>
    <row r="6" spans="1:15" ht="15.75" x14ac:dyDescent="0.25">
      <c r="A6" s="1"/>
      <c r="B6" s="1"/>
      <c r="C6" s="2"/>
      <c r="D6" s="1"/>
      <c r="E6" s="1"/>
      <c r="F6" s="2"/>
      <c r="G6" s="1"/>
      <c r="H6" s="1"/>
      <c r="I6" s="2"/>
      <c r="J6" s="1"/>
      <c r="K6" s="1"/>
      <c r="L6" s="1"/>
      <c r="M6" s="1"/>
      <c r="N6" s="1"/>
      <c r="O6" s="1"/>
    </row>
    <row r="7" spans="1:15" ht="15.75" x14ac:dyDescent="0.25">
      <c r="A7" s="1"/>
      <c r="B7" s="1"/>
      <c r="C7" s="2"/>
      <c r="D7" s="1"/>
      <c r="E7" s="1"/>
      <c r="F7" s="2"/>
      <c r="G7" s="1"/>
      <c r="H7" s="1"/>
      <c r="I7" s="2"/>
      <c r="J7" s="1"/>
      <c r="K7" s="1"/>
      <c r="L7" s="1"/>
      <c r="M7" s="1"/>
      <c r="N7" s="1"/>
      <c r="O7" s="1"/>
    </row>
    <row r="8" spans="1:15" ht="15.75" x14ac:dyDescent="0.25">
      <c r="A8" s="1"/>
      <c r="B8" s="3" t="s">
        <v>7</v>
      </c>
      <c r="C8" s="4" t="s">
        <v>8</v>
      </c>
      <c r="D8" s="1"/>
      <c r="E8" s="1"/>
      <c r="F8" s="2"/>
      <c r="G8" s="1"/>
      <c r="H8" s="1"/>
      <c r="I8" s="2"/>
      <c r="J8" s="1"/>
      <c r="K8" s="1"/>
      <c r="L8" s="1"/>
      <c r="M8" s="1"/>
      <c r="N8" s="1"/>
      <c r="O8" s="1"/>
    </row>
    <row r="9" spans="1:15" ht="15.75" x14ac:dyDescent="0.25">
      <c r="A9" s="1"/>
      <c r="B9" s="1"/>
      <c r="C9" s="4"/>
      <c r="D9" s="1"/>
      <c r="E9" s="1"/>
      <c r="F9" s="2"/>
      <c r="G9" s="1"/>
      <c r="H9" s="1"/>
      <c r="I9" s="2"/>
      <c r="J9" s="1"/>
      <c r="K9" s="1"/>
      <c r="L9" s="1"/>
      <c r="M9" s="1"/>
      <c r="N9" s="1"/>
      <c r="O9" s="1"/>
    </row>
    <row r="10" spans="1:15" ht="15.75" x14ac:dyDescent="0.25">
      <c r="A10" s="1"/>
      <c r="B10" s="1"/>
      <c r="C10" s="169" t="s">
        <v>9</v>
      </c>
      <c r="D10" s="170"/>
      <c r="E10" s="171"/>
      <c r="F10" s="169" t="s">
        <v>10</v>
      </c>
      <c r="G10" s="170"/>
      <c r="H10" s="171"/>
      <c r="I10" s="169" t="s">
        <v>11</v>
      </c>
      <c r="J10" s="170"/>
      <c r="K10" s="171"/>
      <c r="L10" s="1"/>
      <c r="M10" s="1"/>
      <c r="N10" s="1"/>
      <c r="O10" s="1"/>
    </row>
    <row r="11" spans="1:15" ht="15.75" x14ac:dyDescent="0.25">
      <c r="A11" s="1"/>
      <c r="B11" s="1"/>
      <c r="C11" s="6" t="s">
        <v>12</v>
      </c>
      <c r="D11" s="165" t="s">
        <v>13</v>
      </c>
      <c r="E11" s="142"/>
      <c r="F11" s="6" t="s">
        <v>12</v>
      </c>
      <c r="G11" s="165" t="s">
        <v>13</v>
      </c>
      <c r="H11" s="142"/>
      <c r="I11" s="6" t="s">
        <v>12</v>
      </c>
      <c r="J11" s="165" t="s">
        <v>13</v>
      </c>
      <c r="K11" s="142"/>
      <c r="L11" s="1"/>
      <c r="M11" s="1"/>
      <c r="N11" s="1"/>
      <c r="O11" s="1"/>
    </row>
    <row r="12" spans="1:15" ht="15.75" x14ac:dyDescent="0.25">
      <c r="A12" s="1"/>
      <c r="B12" s="1"/>
      <c r="C12" s="7">
        <v>1</v>
      </c>
      <c r="D12" s="8">
        <v>1.05</v>
      </c>
      <c r="E12" s="9" t="s">
        <v>14</v>
      </c>
      <c r="F12" s="7">
        <v>1</v>
      </c>
      <c r="G12" s="8">
        <v>1.67</v>
      </c>
      <c r="H12" s="9" t="s">
        <v>14</v>
      </c>
      <c r="I12" s="7">
        <v>1</v>
      </c>
      <c r="J12" s="8">
        <v>1.97</v>
      </c>
      <c r="K12" s="9" t="s">
        <v>14</v>
      </c>
      <c r="L12" s="1"/>
      <c r="M12" s="1"/>
      <c r="N12" s="5"/>
      <c r="O12" s="8"/>
    </row>
    <row r="13" spans="1:15" ht="15.75" x14ac:dyDescent="0.25">
      <c r="A13" s="1"/>
      <c r="B13" s="1"/>
      <c r="C13" s="7">
        <v>2</v>
      </c>
      <c r="D13" s="8">
        <v>0.99</v>
      </c>
      <c r="E13" s="9" t="s">
        <v>14</v>
      </c>
      <c r="F13" s="7">
        <v>2</v>
      </c>
      <c r="G13" s="8">
        <v>1.58</v>
      </c>
      <c r="H13" s="9" t="s">
        <v>14</v>
      </c>
      <c r="I13" s="7">
        <v>2</v>
      </c>
      <c r="J13" s="8">
        <v>1.88</v>
      </c>
      <c r="K13" s="9" t="s">
        <v>14</v>
      </c>
      <c r="L13" s="1"/>
      <c r="M13" s="1"/>
      <c r="N13" s="5"/>
      <c r="O13" s="8"/>
    </row>
    <row r="14" spans="1:15" ht="15.75" x14ac:dyDescent="0.25">
      <c r="A14" s="1"/>
      <c r="B14" s="1"/>
      <c r="C14" s="7">
        <v>3</v>
      </c>
      <c r="D14" s="8">
        <v>1</v>
      </c>
      <c r="E14" s="9" t="s">
        <v>14</v>
      </c>
      <c r="F14" s="7">
        <v>3</v>
      </c>
      <c r="G14" s="8">
        <v>1.63</v>
      </c>
      <c r="H14" s="9" t="s">
        <v>14</v>
      </c>
      <c r="I14" s="7">
        <v>3</v>
      </c>
      <c r="J14" s="8">
        <v>1.93</v>
      </c>
      <c r="K14" s="9" t="s">
        <v>14</v>
      </c>
      <c r="L14" s="1"/>
      <c r="M14" s="1"/>
      <c r="N14" s="5"/>
      <c r="O14" s="8"/>
    </row>
    <row r="15" spans="1:15" ht="15.75" x14ac:dyDescent="0.25">
      <c r="A15" s="1"/>
      <c r="B15" s="1"/>
      <c r="C15" s="7">
        <v>4</v>
      </c>
      <c r="D15" s="8">
        <v>1.02</v>
      </c>
      <c r="E15" s="9" t="s">
        <v>14</v>
      </c>
      <c r="F15" s="7">
        <v>4</v>
      </c>
      <c r="G15" s="8">
        <v>1.7</v>
      </c>
      <c r="H15" s="9" t="s">
        <v>14</v>
      </c>
      <c r="I15" s="7">
        <v>4</v>
      </c>
      <c r="J15" s="8">
        <v>2</v>
      </c>
      <c r="K15" s="9" t="s">
        <v>14</v>
      </c>
      <c r="L15" s="1"/>
      <c r="M15" s="1"/>
      <c r="N15" s="5"/>
      <c r="O15" s="8"/>
    </row>
    <row r="16" spans="1:15" ht="15.75" x14ac:dyDescent="0.25">
      <c r="A16" s="1"/>
      <c r="B16" s="1"/>
      <c r="C16" s="7">
        <v>5</v>
      </c>
      <c r="D16" s="8">
        <v>0.98</v>
      </c>
      <c r="E16" s="9" t="s">
        <v>14</v>
      </c>
      <c r="F16" s="7">
        <v>5</v>
      </c>
      <c r="G16" s="8">
        <v>1.69</v>
      </c>
      <c r="H16" s="9" t="s">
        <v>14</v>
      </c>
      <c r="I16" s="7">
        <v>5</v>
      </c>
      <c r="J16" s="8">
        <v>1.99</v>
      </c>
      <c r="K16" s="9" t="s">
        <v>14</v>
      </c>
      <c r="L16" s="1"/>
      <c r="M16" s="1"/>
      <c r="N16" s="5"/>
      <c r="O16" s="8"/>
    </row>
    <row r="17" spans="1:15" ht="15.75" x14ac:dyDescent="0.25">
      <c r="A17" s="1"/>
      <c r="B17" s="1"/>
      <c r="C17" s="7">
        <v>6</v>
      </c>
      <c r="D17" s="8">
        <v>0.99</v>
      </c>
      <c r="E17" s="9" t="s">
        <v>14</v>
      </c>
      <c r="F17" s="7">
        <v>6</v>
      </c>
      <c r="G17" s="8">
        <v>1.68</v>
      </c>
      <c r="H17" s="9" t="s">
        <v>14</v>
      </c>
      <c r="I17" s="7">
        <v>6</v>
      </c>
      <c r="J17" s="8">
        <v>1.98</v>
      </c>
      <c r="K17" s="9" t="s">
        <v>14</v>
      </c>
      <c r="L17" s="1"/>
      <c r="M17" s="1"/>
      <c r="N17" s="1"/>
      <c r="O17" s="8"/>
    </row>
    <row r="18" spans="1:15" ht="15.75" x14ac:dyDescent="0.25">
      <c r="A18" s="1"/>
      <c r="B18" s="1"/>
      <c r="C18" s="7">
        <v>7</v>
      </c>
      <c r="D18" s="8">
        <v>1</v>
      </c>
      <c r="E18" s="9" t="s">
        <v>14</v>
      </c>
      <c r="F18" s="7">
        <v>7</v>
      </c>
      <c r="G18" s="8">
        <v>1.71</v>
      </c>
      <c r="H18" s="9" t="s">
        <v>14</v>
      </c>
      <c r="I18" s="7">
        <v>7</v>
      </c>
      <c r="J18" s="8">
        <v>1.99</v>
      </c>
      <c r="K18" s="9" t="s">
        <v>14</v>
      </c>
      <c r="L18" s="1"/>
      <c r="M18" s="1"/>
      <c r="N18" s="1"/>
      <c r="O18" s="8"/>
    </row>
    <row r="19" spans="1:15" ht="15.75" x14ac:dyDescent="0.25">
      <c r="A19" s="1"/>
      <c r="B19" s="1"/>
      <c r="C19" s="7">
        <v>8</v>
      </c>
      <c r="D19" s="8">
        <v>0.98</v>
      </c>
      <c r="E19" s="9" t="s">
        <v>14</v>
      </c>
      <c r="F19" s="7">
        <v>8</v>
      </c>
      <c r="G19" s="8">
        <v>1.66</v>
      </c>
      <c r="H19" s="9" t="s">
        <v>14</v>
      </c>
      <c r="I19" s="7">
        <v>8</v>
      </c>
      <c r="J19" s="8">
        <v>1.96</v>
      </c>
      <c r="K19" s="9" t="s">
        <v>14</v>
      </c>
      <c r="L19" s="1"/>
      <c r="M19" s="1"/>
      <c r="N19" s="1"/>
      <c r="O19" s="8"/>
    </row>
    <row r="20" spans="1:15" ht="15.75" x14ac:dyDescent="0.25">
      <c r="A20" s="1"/>
      <c r="B20" s="1"/>
      <c r="C20" s="7">
        <v>9</v>
      </c>
      <c r="D20" s="8">
        <v>1.03</v>
      </c>
      <c r="E20" s="9" t="s">
        <v>14</v>
      </c>
      <c r="F20" s="7">
        <v>9</v>
      </c>
      <c r="G20" s="8">
        <v>1.71</v>
      </c>
      <c r="H20" s="9" t="s">
        <v>14</v>
      </c>
      <c r="I20" s="7">
        <v>9</v>
      </c>
      <c r="J20" s="8">
        <v>1.98</v>
      </c>
      <c r="K20" s="9" t="s">
        <v>14</v>
      </c>
      <c r="L20" s="1"/>
      <c r="M20" s="1"/>
      <c r="N20" s="1"/>
      <c r="O20" s="8"/>
    </row>
    <row r="21" spans="1:15" ht="15.75" customHeight="1" x14ac:dyDescent="0.25">
      <c r="A21" s="1"/>
      <c r="B21" s="1"/>
      <c r="C21" s="7">
        <v>10</v>
      </c>
      <c r="D21" s="8">
        <v>1.02</v>
      </c>
      <c r="E21" s="9" t="s">
        <v>14</v>
      </c>
      <c r="F21" s="7">
        <v>10</v>
      </c>
      <c r="G21" s="8">
        <v>1.72</v>
      </c>
      <c r="H21" s="9" t="s">
        <v>14</v>
      </c>
      <c r="I21" s="7">
        <v>10</v>
      </c>
      <c r="J21" s="8">
        <v>1.99</v>
      </c>
      <c r="K21" s="9" t="s">
        <v>14</v>
      </c>
      <c r="L21" s="1"/>
      <c r="M21" s="1"/>
      <c r="N21" s="1"/>
      <c r="O21" s="8"/>
    </row>
    <row r="22" spans="1:15" ht="15.75" customHeight="1" x14ac:dyDescent="0.25">
      <c r="A22" s="1"/>
      <c r="B22" s="1"/>
      <c r="C22" s="10"/>
      <c r="D22" s="11"/>
      <c r="E22" s="12"/>
      <c r="F22" s="10"/>
      <c r="G22" s="13"/>
      <c r="H22" s="12"/>
      <c r="I22" s="10"/>
      <c r="J22" s="13"/>
      <c r="K22" s="12"/>
      <c r="L22" s="1"/>
      <c r="M22" s="1"/>
      <c r="N22" s="1"/>
      <c r="O22" s="8"/>
    </row>
    <row r="23" spans="1:15" ht="15.75" customHeight="1" x14ac:dyDescent="0.25">
      <c r="A23" s="1"/>
      <c r="B23" s="1"/>
      <c r="C23" s="14" t="s">
        <v>15</v>
      </c>
      <c r="D23" s="15">
        <f>SUM(D12:D21)/10</f>
        <v>1.006</v>
      </c>
      <c r="E23" s="16" t="s">
        <v>14</v>
      </c>
      <c r="F23" s="17" t="s">
        <v>16</v>
      </c>
      <c r="G23" s="18">
        <f>SUM(G12:G21)/10</f>
        <v>1.675</v>
      </c>
      <c r="H23" s="19" t="s">
        <v>14</v>
      </c>
      <c r="I23" s="17" t="s">
        <v>17</v>
      </c>
      <c r="J23" s="18">
        <f>SUM(J12:J21)/10</f>
        <v>1.9669999999999999</v>
      </c>
      <c r="K23" s="19" t="s">
        <v>14</v>
      </c>
      <c r="L23" s="1"/>
      <c r="M23" s="1"/>
      <c r="N23" s="5"/>
      <c r="O23" s="8"/>
    </row>
    <row r="24" spans="1:15" ht="15.75" customHeight="1" x14ac:dyDescent="0.25">
      <c r="A24" s="1"/>
      <c r="B24" s="1"/>
      <c r="C24" s="20" t="s">
        <v>18</v>
      </c>
      <c r="D24" s="21" t="s">
        <v>139</v>
      </c>
      <c r="E24" s="22"/>
      <c r="F24" s="20" t="s">
        <v>18</v>
      </c>
      <c r="G24" s="21" t="s">
        <v>140</v>
      </c>
      <c r="H24" s="22"/>
      <c r="I24" s="20" t="s">
        <v>18</v>
      </c>
      <c r="J24" s="21" t="s">
        <v>141</v>
      </c>
      <c r="K24" s="22"/>
      <c r="L24" s="1"/>
      <c r="M24" s="1"/>
      <c r="N24" s="5"/>
      <c r="O24" s="8"/>
    </row>
    <row r="25" spans="1:15" ht="15.75" customHeight="1" x14ac:dyDescent="0.25">
      <c r="A25" s="1"/>
      <c r="B25" s="1"/>
      <c r="C25" s="23" t="s">
        <v>19</v>
      </c>
      <c r="D25" s="24" t="s">
        <v>142</v>
      </c>
      <c r="E25" s="25"/>
      <c r="F25" s="23" t="s">
        <v>19</v>
      </c>
      <c r="G25" s="24" t="s">
        <v>143</v>
      </c>
      <c r="H25" s="25"/>
      <c r="I25" s="23" t="s">
        <v>19</v>
      </c>
      <c r="J25" s="24" t="s">
        <v>144</v>
      </c>
      <c r="K25" s="25"/>
      <c r="L25" s="1"/>
      <c r="M25" s="1"/>
      <c r="N25" s="5"/>
      <c r="O25" s="8"/>
    </row>
    <row r="26" spans="1:15" ht="15.75" customHeight="1" x14ac:dyDescent="0.25">
      <c r="A26" s="1"/>
      <c r="B26" s="1"/>
      <c r="C26" s="143" t="s">
        <v>20</v>
      </c>
      <c r="D26" s="145">
        <f>D23</f>
        <v>1.006</v>
      </c>
      <c r="E26" s="147" t="s">
        <v>21</v>
      </c>
      <c r="F26" s="143" t="s">
        <v>20</v>
      </c>
      <c r="G26" s="145">
        <f>G23</f>
        <v>1.675</v>
      </c>
      <c r="H26" s="147" t="s">
        <v>21</v>
      </c>
      <c r="I26" s="143" t="s">
        <v>20</v>
      </c>
      <c r="J26" s="145">
        <f>J23</f>
        <v>1.9669999999999999</v>
      </c>
      <c r="K26" s="147" t="s">
        <v>21</v>
      </c>
      <c r="L26" s="1"/>
      <c r="M26" s="1"/>
      <c r="N26" s="1"/>
      <c r="O26" s="1"/>
    </row>
    <row r="27" spans="1:15" ht="15.75" customHeight="1" x14ac:dyDescent="0.25">
      <c r="A27" s="1"/>
      <c r="B27" s="1"/>
      <c r="C27" s="144"/>
      <c r="D27" s="146"/>
      <c r="E27" s="148"/>
      <c r="F27" s="144"/>
      <c r="G27" s="146"/>
      <c r="H27" s="148"/>
      <c r="I27" s="144"/>
      <c r="J27" s="146"/>
      <c r="K27" s="148"/>
      <c r="L27" s="1"/>
      <c r="M27" s="1"/>
      <c r="N27" s="1"/>
      <c r="O27" s="1"/>
    </row>
    <row r="28" spans="1:15" ht="15.75" customHeight="1" x14ac:dyDescent="0.25">
      <c r="A28" s="1"/>
      <c r="B28" s="1"/>
      <c r="C28" s="2"/>
      <c r="D28" s="1"/>
      <c r="E28" s="1"/>
      <c r="F28" s="2"/>
      <c r="G28" s="1"/>
      <c r="H28" s="1"/>
      <c r="I28" s="2"/>
      <c r="J28" s="1"/>
      <c r="K28" s="1"/>
      <c r="L28" s="1"/>
      <c r="M28" s="1"/>
      <c r="N28" s="1"/>
      <c r="O28" s="1"/>
    </row>
    <row r="29" spans="1:15" ht="15.75" customHeight="1" x14ac:dyDescent="0.25">
      <c r="A29" s="1"/>
      <c r="B29" s="1"/>
      <c r="C29" s="27" t="s">
        <v>22</v>
      </c>
      <c r="D29" s="28"/>
      <c r="E29" s="28"/>
      <c r="F29" s="29"/>
      <c r="G29" s="30">
        <f>D26+G26+J26</f>
        <v>4.6479999999999997</v>
      </c>
      <c r="H29" s="31" t="s">
        <v>21</v>
      </c>
      <c r="I29" s="32" t="s">
        <v>23</v>
      </c>
      <c r="J29" s="28"/>
      <c r="K29" s="33"/>
      <c r="L29" s="1"/>
      <c r="M29" s="1"/>
      <c r="N29" s="1"/>
      <c r="O29" s="1"/>
    </row>
    <row r="30" spans="1:15" ht="15.75" customHeight="1" x14ac:dyDescent="0.25">
      <c r="A30" s="1"/>
      <c r="B30" s="1"/>
      <c r="C30" s="34" t="s">
        <v>24</v>
      </c>
      <c r="D30" s="35"/>
      <c r="E30" s="1"/>
      <c r="F30" s="1"/>
      <c r="G30" s="8"/>
      <c r="H30" s="1"/>
      <c r="I30" s="2"/>
      <c r="J30" s="8"/>
      <c r="K30" s="1"/>
      <c r="L30" s="1"/>
      <c r="M30" s="1"/>
      <c r="N30" s="1"/>
      <c r="O30" s="1"/>
    </row>
    <row r="31" spans="1:15" ht="15.75" customHeight="1" x14ac:dyDescent="0.25">
      <c r="A31" s="1"/>
      <c r="B31" s="1"/>
      <c r="C31" s="2"/>
      <c r="D31" s="35"/>
      <c r="E31" s="1"/>
      <c r="F31" s="1"/>
      <c r="G31" s="8"/>
      <c r="H31" s="1"/>
      <c r="I31" s="2"/>
      <c r="J31" s="8"/>
      <c r="K31" s="1"/>
      <c r="L31" s="1"/>
      <c r="M31" s="1"/>
      <c r="N31" s="1"/>
      <c r="O31" s="1"/>
    </row>
    <row r="32" spans="1:15" ht="15.75" customHeight="1" x14ac:dyDescent="0.25">
      <c r="A32" s="1"/>
      <c r="B32" s="1"/>
      <c r="C32" s="2"/>
      <c r="D32" s="35"/>
      <c r="E32" s="1"/>
      <c r="F32" s="1"/>
      <c r="G32" s="8"/>
      <c r="H32" s="1"/>
      <c r="I32" s="2"/>
      <c r="J32" s="8"/>
      <c r="K32" s="1"/>
      <c r="L32" s="1"/>
      <c r="M32" s="1"/>
      <c r="N32" s="1"/>
      <c r="O32" s="1"/>
    </row>
    <row r="33" spans="1:15" ht="15.75" customHeight="1" x14ac:dyDescent="0.25">
      <c r="A33" s="1"/>
      <c r="B33" s="3" t="s">
        <v>25</v>
      </c>
      <c r="C33" s="4" t="s">
        <v>26</v>
      </c>
      <c r="D33" s="35"/>
      <c r="E33" s="1"/>
      <c r="F33" s="1"/>
      <c r="G33" s="8"/>
      <c r="H33" s="1"/>
      <c r="I33" s="2"/>
      <c r="J33" s="8"/>
      <c r="K33" s="1"/>
      <c r="L33" s="1"/>
      <c r="M33" s="1"/>
      <c r="N33" s="1"/>
      <c r="O33" s="1"/>
    </row>
    <row r="34" spans="1:15" ht="15.75" customHeight="1" x14ac:dyDescent="0.25">
      <c r="A34" s="1"/>
      <c r="B34" s="1"/>
      <c r="C34" s="2"/>
      <c r="D34" s="35"/>
      <c r="E34" s="1"/>
      <c r="F34" s="1"/>
      <c r="G34" s="8"/>
      <c r="H34" s="1"/>
      <c r="I34" s="2"/>
      <c r="J34" s="8"/>
      <c r="K34" s="1"/>
      <c r="L34" s="1"/>
      <c r="M34" s="1"/>
      <c r="N34" s="1"/>
      <c r="O34" s="1"/>
    </row>
    <row r="35" spans="1:15" ht="15.75" customHeight="1" x14ac:dyDescent="0.25">
      <c r="A35" s="1"/>
      <c r="B35" s="1"/>
      <c r="C35" s="149" t="s">
        <v>145</v>
      </c>
      <c r="D35" s="150"/>
      <c r="E35" s="151"/>
      <c r="F35" s="149" t="s">
        <v>146</v>
      </c>
      <c r="G35" s="150"/>
      <c r="H35" s="151"/>
      <c r="I35" s="149" t="s">
        <v>147</v>
      </c>
      <c r="J35" s="150"/>
      <c r="K35" s="151"/>
      <c r="L35" s="1"/>
      <c r="M35" s="1"/>
      <c r="N35" s="1"/>
      <c r="O35" s="1"/>
    </row>
    <row r="36" spans="1:15" ht="15.75" customHeight="1" x14ac:dyDescent="0.25">
      <c r="A36" s="1"/>
      <c r="B36" s="1"/>
      <c r="C36" s="172" t="s">
        <v>30</v>
      </c>
      <c r="D36" s="162"/>
      <c r="E36" s="164"/>
      <c r="F36" s="172" t="s">
        <v>30</v>
      </c>
      <c r="G36" s="162"/>
      <c r="H36" s="164"/>
      <c r="I36" s="172" t="s">
        <v>30</v>
      </c>
      <c r="J36" s="162"/>
      <c r="K36" s="164"/>
      <c r="L36" s="1"/>
      <c r="M36" s="1"/>
      <c r="N36" s="1"/>
      <c r="O36" s="1"/>
    </row>
    <row r="37" spans="1:15" ht="15.75" customHeight="1" x14ac:dyDescent="0.25">
      <c r="A37" s="1"/>
      <c r="B37" s="1"/>
      <c r="C37" s="36"/>
      <c r="D37" s="37" t="s">
        <v>31</v>
      </c>
      <c r="E37" s="38">
        <f>MAX(D12:D21)</f>
        <v>1.05</v>
      </c>
      <c r="F37" s="36"/>
      <c r="G37" s="37" t="s">
        <v>31</v>
      </c>
      <c r="H37" s="38">
        <f>MAX(G12:G21)</f>
        <v>1.72</v>
      </c>
      <c r="I37" s="36"/>
      <c r="J37" s="37" t="s">
        <v>31</v>
      </c>
      <c r="K37" s="38">
        <v>1.97</v>
      </c>
      <c r="L37" s="1"/>
      <c r="M37" s="1"/>
      <c r="N37" s="1"/>
      <c r="O37" s="1"/>
    </row>
    <row r="38" spans="1:15" ht="15.75" customHeight="1" x14ac:dyDescent="0.25">
      <c r="A38" s="1"/>
      <c r="B38" s="1"/>
      <c r="C38" s="36"/>
      <c r="D38" s="37" t="s">
        <v>32</v>
      </c>
      <c r="E38" s="38">
        <f>MIN(D12:D21)</f>
        <v>0.98</v>
      </c>
      <c r="F38" s="36"/>
      <c r="G38" s="37" t="s">
        <v>32</v>
      </c>
      <c r="H38" s="38">
        <f>MIN(G12:G21)</f>
        <v>1.58</v>
      </c>
      <c r="I38" s="36"/>
      <c r="J38" s="37" t="s">
        <v>32</v>
      </c>
      <c r="K38" s="38">
        <v>1.88</v>
      </c>
      <c r="L38" s="1"/>
      <c r="M38" s="1"/>
      <c r="N38" s="1"/>
      <c r="O38" s="1"/>
    </row>
    <row r="39" spans="1:15" ht="15.75" customHeight="1" x14ac:dyDescent="0.25">
      <c r="A39" s="1"/>
      <c r="B39" s="1"/>
      <c r="C39" s="10"/>
      <c r="D39" s="39" t="s">
        <v>33</v>
      </c>
      <c r="E39" s="40">
        <f>E37-E38</f>
        <v>7.0000000000000062E-2</v>
      </c>
      <c r="F39" s="10"/>
      <c r="G39" s="39" t="s">
        <v>33</v>
      </c>
      <c r="H39" s="40">
        <f>H37-H38</f>
        <v>0.1399999999999999</v>
      </c>
      <c r="I39" s="10"/>
      <c r="J39" s="39" t="s">
        <v>33</v>
      </c>
      <c r="K39" s="40">
        <f>K37-K38</f>
        <v>9.000000000000008E-2</v>
      </c>
      <c r="L39" s="1"/>
      <c r="M39" s="1"/>
      <c r="N39" s="1"/>
      <c r="O39" s="1"/>
    </row>
    <row r="40" spans="1:15" ht="15.75" customHeight="1" x14ac:dyDescent="0.25">
      <c r="A40" s="1"/>
      <c r="B40" s="1"/>
      <c r="C40" s="140" t="s">
        <v>34</v>
      </c>
      <c r="D40" s="141"/>
      <c r="E40" s="142"/>
      <c r="F40" s="140" t="s">
        <v>34</v>
      </c>
      <c r="G40" s="141"/>
      <c r="H40" s="142"/>
      <c r="I40" s="140" t="s">
        <v>34</v>
      </c>
      <c r="J40" s="141"/>
      <c r="K40" s="142"/>
      <c r="L40" s="1"/>
      <c r="M40" s="1"/>
      <c r="N40" s="1"/>
      <c r="O40" s="1"/>
    </row>
    <row r="41" spans="1:15" ht="31.5" customHeight="1" x14ac:dyDescent="0.25">
      <c r="A41" s="1"/>
      <c r="B41" s="1"/>
      <c r="C41" s="163" t="s">
        <v>148</v>
      </c>
      <c r="D41" s="162"/>
      <c r="E41" s="164"/>
      <c r="F41" s="163" t="s">
        <v>149</v>
      </c>
      <c r="G41" s="162"/>
      <c r="H41" s="164"/>
      <c r="I41" s="163" t="s">
        <v>150</v>
      </c>
      <c r="J41" s="162"/>
      <c r="K41" s="164"/>
      <c r="L41" s="1"/>
      <c r="M41" s="1"/>
      <c r="N41" s="1"/>
      <c r="O41" s="1"/>
    </row>
    <row r="42" spans="1:15" ht="15.75" customHeight="1" x14ac:dyDescent="0.25">
      <c r="A42" s="1"/>
      <c r="B42" s="1"/>
      <c r="C42" s="36"/>
      <c r="D42" s="35"/>
      <c r="E42" s="9"/>
      <c r="F42" s="41"/>
      <c r="G42" s="8"/>
      <c r="H42" s="9"/>
      <c r="I42" s="36"/>
      <c r="J42" s="8"/>
      <c r="K42" s="9"/>
      <c r="L42" s="1"/>
      <c r="M42" s="1"/>
      <c r="N42" s="1"/>
      <c r="O42" s="1"/>
    </row>
    <row r="43" spans="1:15" ht="15.75" customHeight="1" x14ac:dyDescent="0.25">
      <c r="A43" s="1"/>
      <c r="B43" s="1"/>
      <c r="C43" s="36"/>
      <c r="D43" s="35"/>
      <c r="E43" s="9"/>
      <c r="F43" s="41"/>
      <c r="G43" s="8"/>
      <c r="H43" s="9"/>
      <c r="I43" s="36"/>
      <c r="J43" s="8"/>
      <c r="K43" s="9"/>
      <c r="L43" s="1"/>
      <c r="M43" s="1"/>
      <c r="N43" s="1"/>
      <c r="O43" s="1"/>
    </row>
    <row r="44" spans="1:15" ht="15.75" customHeight="1" x14ac:dyDescent="0.25">
      <c r="A44" s="1"/>
      <c r="B44" s="1"/>
      <c r="C44" s="36"/>
      <c r="D44" s="42" t="s">
        <v>38</v>
      </c>
      <c r="E44" s="43">
        <f>E39</f>
        <v>7.0000000000000062E-2</v>
      </c>
      <c r="F44" s="41"/>
      <c r="G44" s="42" t="s">
        <v>38</v>
      </c>
      <c r="H44" s="43">
        <f>H39</f>
        <v>0.1399999999999999</v>
      </c>
      <c r="I44" s="36"/>
      <c r="J44" s="42" t="s">
        <v>38</v>
      </c>
      <c r="K44" s="43">
        <f>K39</f>
        <v>9.000000000000008E-2</v>
      </c>
      <c r="L44" s="1"/>
      <c r="M44" s="1"/>
      <c r="N44" s="1"/>
      <c r="O44" s="1"/>
    </row>
    <row r="45" spans="1:15" ht="15.75" customHeight="1" x14ac:dyDescent="0.25">
      <c r="A45" s="1"/>
      <c r="B45" s="1"/>
      <c r="C45" s="36"/>
      <c r="D45" s="42" t="s">
        <v>39</v>
      </c>
      <c r="E45" s="44">
        <f>D26</f>
        <v>1.006</v>
      </c>
      <c r="F45" s="41"/>
      <c r="G45" s="42" t="s">
        <v>39</v>
      </c>
      <c r="H45" s="44">
        <f>G26</f>
        <v>1.675</v>
      </c>
      <c r="I45" s="36"/>
      <c r="J45" s="42" t="s">
        <v>39</v>
      </c>
      <c r="K45" s="44">
        <f>J26</f>
        <v>1.9669999999999999</v>
      </c>
      <c r="L45" s="1"/>
      <c r="M45" s="1"/>
      <c r="N45" s="1"/>
      <c r="O45" s="1"/>
    </row>
    <row r="46" spans="1:15" ht="15.75" customHeight="1" x14ac:dyDescent="0.25">
      <c r="A46" s="1"/>
      <c r="B46" s="1"/>
      <c r="C46" s="36"/>
      <c r="D46" s="35"/>
      <c r="E46" s="9"/>
      <c r="F46" s="41"/>
      <c r="G46" s="8"/>
      <c r="H46" s="9"/>
      <c r="I46" s="36"/>
      <c r="J46" s="8"/>
      <c r="K46" s="9"/>
      <c r="L46" s="1"/>
      <c r="M46" s="1"/>
      <c r="N46" s="1"/>
      <c r="O46" s="1"/>
    </row>
    <row r="47" spans="1:15" ht="15.75" customHeight="1" x14ac:dyDescent="0.25">
      <c r="A47" s="1"/>
      <c r="B47" s="1"/>
      <c r="C47" s="36"/>
      <c r="D47" s="45" t="s">
        <v>34</v>
      </c>
      <c r="E47" s="46">
        <f>E44/E45</f>
        <v>6.9582504970178982E-2</v>
      </c>
      <c r="F47" s="41"/>
      <c r="G47" s="45" t="s">
        <v>34</v>
      </c>
      <c r="H47" s="46">
        <f>H44/H45</f>
        <v>8.3582089552238739E-2</v>
      </c>
      <c r="I47" s="36"/>
      <c r="J47" s="45" t="s">
        <v>34</v>
      </c>
      <c r="K47" s="46">
        <f>K44/K45</f>
        <v>4.5754956786985303E-2</v>
      </c>
      <c r="L47" s="1"/>
      <c r="M47" s="1"/>
      <c r="N47" s="1"/>
      <c r="O47" s="1"/>
    </row>
    <row r="48" spans="1:15" ht="15.75" customHeight="1" x14ac:dyDescent="0.25">
      <c r="A48" s="1"/>
      <c r="B48" s="1"/>
      <c r="C48" s="10"/>
      <c r="D48" s="47"/>
      <c r="E48" s="12"/>
      <c r="F48" s="48"/>
      <c r="G48" s="11"/>
      <c r="H48" s="12"/>
      <c r="I48" s="10"/>
      <c r="J48" s="11"/>
      <c r="K48" s="12"/>
      <c r="L48" s="1"/>
      <c r="M48" s="1"/>
      <c r="N48" s="1"/>
      <c r="O48" s="1"/>
    </row>
    <row r="49" spans="1:15" ht="15.75" customHeight="1" x14ac:dyDescent="0.25">
      <c r="A49" s="1"/>
      <c r="B49" s="1"/>
      <c r="C49" s="2"/>
      <c r="D49" s="35"/>
      <c r="E49" s="1"/>
      <c r="F49" s="1"/>
      <c r="G49" s="8"/>
      <c r="H49" s="1"/>
      <c r="I49" s="2"/>
      <c r="J49" s="8"/>
      <c r="K49" s="1"/>
      <c r="L49" s="1"/>
      <c r="M49" s="1"/>
      <c r="N49" s="1"/>
      <c r="O49" s="1"/>
    </row>
    <row r="50" spans="1:15" ht="15.75" customHeight="1" x14ac:dyDescent="0.25">
      <c r="A50" s="1"/>
      <c r="B50" s="1"/>
      <c r="C50" s="2"/>
      <c r="D50" s="35"/>
      <c r="E50" s="1"/>
      <c r="F50" s="1"/>
      <c r="G50" s="8"/>
      <c r="H50" s="1"/>
      <c r="I50" s="2"/>
      <c r="J50" s="8"/>
      <c r="K50" s="1"/>
      <c r="L50" s="1"/>
      <c r="M50" s="1"/>
      <c r="N50" s="1"/>
      <c r="O50" s="1"/>
    </row>
    <row r="51" spans="1:15" ht="15.75" customHeight="1" x14ac:dyDescent="0.25">
      <c r="A51" s="1"/>
      <c r="B51" s="3" t="s">
        <v>40</v>
      </c>
      <c r="C51" s="161" t="s">
        <v>41</v>
      </c>
      <c r="D51" s="162"/>
      <c r="E51" s="162"/>
      <c r="F51" s="162"/>
      <c r="G51" s="162"/>
      <c r="H51" s="162"/>
      <c r="I51" s="162"/>
      <c r="J51" s="162"/>
      <c r="K51" s="162"/>
      <c r="L51" s="1"/>
      <c r="M51" s="1"/>
      <c r="N51" s="1"/>
      <c r="O51" s="1"/>
    </row>
    <row r="52" spans="1:15" ht="15.75" customHeight="1" x14ac:dyDescent="0.25">
      <c r="A52" s="1"/>
      <c r="B52" s="1"/>
      <c r="C52" s="162"/>
      <c r="D52" s="162"/>
      <c r="E52" s="162"/>
      <c r="F52" s="162"/>
      <c r="G52" s="162"/>
      <c r="H52" s="162"/>
      <c r="I52" s="162"/>
      <c r="J52" s="162"/>
      <c r="K52" s="162"/>
      <c r="L52" s="1"/>
      <c r="M52" s="1"/>
      <c r="N52" s="1"/>
      <c r="O52" s="1"/>
    </row>
    <row r="53" spans="1:15" ht="15.75" customHeight="1" x14ac:dyDescent="0.25">
      <c r="A53" s="1"/>
      <c r="B53" s="1"/>
      <c r="C53" s="2"/>
      <c r="D53" s="1"/>
      <c r="E53" s="1"/>
      <c r="F53" s="2"/>
      <c r="G53" s="1"/>
      <c r="H53" s="1"/>
      <c r="I53" s="2"/>
      <c r="J53" s="1"/>
      <c r="K53" s="1"/>
      <c r="L53" s="1"/>
      <c r="M53" s="1"/>
      <c r="N53" s="1"/>
      <c r="O53" s="1"/>
    </row>
    <row r="54" spans="1:15" ht="15.75" customHeight="1" x14ac:dyDescent="0.25">
      <c r="A54" s="1"/>
      <c r="B54" s="1"/>
      <c r="C54" s="2"/>
      <c r="D54" s="1"/>
      <c r="E54" s="1"/>
      <c r="F54" s="2"/>
      <c r="G54" s="1"/>
      <c r="H54" s="166" t="s">
        <v>151</v>
      </c>
      <c r="I54" s="156"/>
      <c r="J54" s="156"/>
      <c r="K54" s="156"/>
      <c r="L54" s="156"/>
      <c r="M54" s="156"/>
      <c r="N54" s="156"/>
      <c r="O54" s="157"/>
    </row>
    <row r="55" spans="1:15" ht="15.75" customHeight="1" x14ac:dyDescent="0.25">
      <c r="A55" s="1"/>
      <c r="B55" s="1"/>
      <c r="C55" s="49" t="s">
        <v>43</v>
      </c>
      <c r="D55" s="49" t="s">
        <v>34</v>
      </c>
      <c r="E55" s="49" t="s">
        <v>44</v>
      </c>
      <c r="F55" s="50" t="s">
        <v>45</v>
      </c>
      <c r="G55" s="1"/>
      <c r="H55" s="167"/>
      <c r="I55" s="162"/>
      <c r="J55" s="162"/>
      <c r="K55" s="162"/>
      <c r="L55" s="162"/>
      <c r="M55" s="162"/>
      <c r="N55" s="162"/>
      <c r="O55" s="168"/>
    </row>
    <row r="56" spans="1:15" ht="15.75" customHeight="1" x14ac:dyDescent="0.25">
      <c r="A56" s="1"/>
      <c r="B56" s="1"/>
      <c r="C56" s="51" t="s">
        <v>9</v>
      </c>
      <c r="D56" s="52">
        <f>E47</f>
        <v>6.9582504970178982E-2</v>
      </c>
      <c r="E56" s="53">
        <v>0.1</v>
      </c>
      <c r="F56" s="54">
        <v>2</v>
      </c>
      <c r="G56" s="1"/>
      <c r="H56" s="167"/>
      <c r="I56" s="162"/>
      <c r="J56" s="162"/>
      <c r="K56" s="162"/>
      <c r="L56" s="162"/>
      <c r="M56" s="162"/>
      <c r="N56" s="162"/>
      <c r="O56" s="168"/>
    </row>
    <row r="57" spans="1:15" ht="15.75" customHeight="1" x14ac:dyDescent="0.25">
      <c r="A57" s="1"/>
      <c r="B57" s="1"/>
      <c r="C57" s="51" t="s">
        <v>10</v>
      </c>
      <c r="D57" s="52">
        <f>H47</f>
        <v>8.3582089552238739E-2</v>
      </c>
      <c r="E57" s="53">
        <v>0.1</v>
      </c>
      <c r="F57" s="54">
        <v>2</v>
      </c>
      <c r="G57" s="1"/>
      <c r="H57" s="167"/>
      <c r="I57" s="162"/>
      <c r="J57" s="162"/>
      <c r="K57" s="162"/>
      <c r="L57" s="162"/>
      <c r="M57" s="162"/>
      <c r="N57" s="162"/>
      <c r="O57" s="168"/>
    </row>
    <row r="58" spans="1:15" ht="15.75" customHeight="1" x14ac:dyDescent="0.25">
      <c r="A58" s="1"/>
      <c r="B58" s="1"/>
      <c r="C58" s="51" t="s">
        <v>11</v>
      </c>
      <c r="D58" s="52">
        <f>K47</f>
        <v>4.5754956786985303E-2</v>
      </c>
      <c r="E58" s="53">
        <v>0.1</v>
      </c>
      <c r="F58" s="54">
        <v>2</v>
      </c>
      <c r="G58" s="1"/>
      <c r="H58" s="158"/>
      <c r="I58" s="159"/>
      <c r="J58" s="159"/>
      <c r="K58" s="159"/>
      <c r="L58" s="159"/>
      <c r="M58" s="159"/>
      <c r="N58" s="159"/>
      <c r="O58" s="160"/>
    </row>
    <row r="59" spans="1:15" ht="15.75" customHeight="1" x14ac:dyDescent="0.25">
      <c r="A59" s="1"/>
      <c r="B59" s="1"/>
      <c r="C59" s="2"/>
      <c r="D59" s="1"/>
      <c r="E59" s="1"/>
      <c r="F59" s="2"/>
      <c r="G59" s="1"/>
      <c r="H59" s="1"/>
      <c r="I59" s="2"/>
      <c r="J59" s="1"/>
      <c r="K59" s="1"/>
      <c r="L59" s="1"/>
      <c r="M59" s="1"/>
      <c r="N59" s="1"/>
      <c r="O59" s="1"/>
    </row>
    <row r="60" spans="1:15" ht="15.75" customHeight="1" x14ac:dyDescent="0.25">
      <c r="A60" s="1"/>
      <c r="B60" s="55"/>
      <c r="C60" s="2"/>
      <c r="D60" s="1"/>
      <c r="E60" s="1"/>
      <c r="F60" s="2"/>
      <c r="G60" s="1"/>
      <c r="H60" s="1"/>
      <c r="I60" s="2"/>
      <c r="J60" s="1"/>
      <c r="K60" s="1"/>
      <c r="L60" s="1"/>
      <c r="M60" s="1"/>
      <c r="N60" s="1"/>
      <c r="O60" s="1"/>
    </row>
    <row r="61" spans="1:15" ht="15.75" customHeight="1" x14ac:dyDescent="0.25">
      <c r="A61" s="1"/>
      <c r="B61" s="1"/>
      <c r="C61" s="169" t="s">
        <v>9</v>
      </c>
      <c r="D61" s="170"/>
      <c r="E61" s="171"/>
      <c r="F61" s="169" t="s">
        <v>10</v>
      </c>
      <c r="G61" s="170"/>
      <c r="H61" s="171"/>
      <c r="I61" s="169" t="s">
        <v>11</v>
      </c>
      <c r="J61" s="170"/>
      <c r="K61" s="171"/>
      <c r="L61" s="1"/>
      <c r="M61" s="1"/>
      <c r="N61" s="1"/>
      <c r="O61" s="1"/>
    </row>
    <row r="62" spans="1:15" ht="15.75" customHeight="1" x14ac:dyDescent="0.25">
      <c r="A62" s="1"/>
      <c r="B62" s="1"/>
      <c r="C62" s="6" t="s">
        <v>12</v>
      </c>
      <c r="D62" s="165" t="s">
        <v>13</v>
      </c>
      <c r="E62" s="142"/>
      <c r="F62" s="6" t="s">
        <v>12</v>
      </c>
      <c r="G62" s="165" t="s">
        <v>13</v>
      </c>
      <c r="H62" s="142"/>
      <c r="I62" s="6" t="s">
        <v>12</v>
      </c>
      <c r="J62" s="165" t="s">
        <v>13</v>
      </c>
      <c r="K62" s="142"/>
      <c r="L62" s="1"/>
      <c r="M62" s="1"/>
      <c r="N62" s="1"/>
      <c r="O62" s="1"/>
    </row>
    <row r="63" spans="1:15" ht="15.75" customHeight="1" x14ac:dyDescent="0.25">
      <c r="A63" s="1"/>
      <c r="B63" s="1"/>
      <c r="C63" s="7">
        <v>1</v>
      </c>
      <c r="D63" s="8">
        <v>1.05</v>
      </c>
      <c r="E63" s="9" t="s">
        <v>14</v>
      </c>
      <c r="F63" s="7">
        <v>1</v>
      </c>
      <c r="G63" s="8">
        <v>1.67</v>
      </c>
      <c r="H63" s="9" t="s">
        <v>14</v>
      </c>
      <c r="I63" s="7">
        <v>1</v>
      </c>
      <c r="J63" s="8">
        <v>2</v>
      </c>
      <c r="K63" s="9" t="s">
        <v>14</v>
      </c>
      <c r="L63" s="1"/>
      <c r="M63" s="1"/>
      <c r="N63" s="1"/>
      <c r="O63" s="1"/>
    </row>
    <row r="64" spans="1:15" ht="15.75" customHeight="1" x14ac:dyDescent="0.25">
      <c r="A64" s="1"/>
      <c r="B64" s="1"/>
      <c r="C64" s="136">
        <v>2</v>
      </c>
      <c r="D64" s="11">
        <v>0.99</v>
      </c>
      <c r="E64" s="12" t="s">
        <v>14</v>
      </c>
      <c r="F64" s="136">
        <v>2</v>
      </c>
      <c r="G64" s="11">
        <v>1.58</v>
      </c>
      <c r="H64" s="12" t="s">
        <v>14</v>
      </c>
      <c r="I64" s="136">
        <v>2</v>
      </c>
      <c r="J64" s="11">
        <v>1.99</v>
      </c>
      <c r="K64" s="12" t="s">
        <v>14</v>
      </c>
      <c r="L64" s="1"/>
      <c r="M64" s="1"/>
      <c r="N64" s="1"/>
      <c r="O64" s="1"/>
    </row>
    <row r="65" spans="1:15" ht="15.75" customHeight="1" x14ac:dyDescent="0.25">
      <c r="A65" s="1"/>
      <c r="B65" s="1"/>
      <c r="C65" s="14" t="s">
        <v>15</v>
      </c>
      <c r="D65" s="15">
        <f>SUM(D63:D64)/2</f>
        <v>1.02</v>
      </c>
      <c r="E65" s="16" t="s">
        <v>14</v>
      </c>
      <c r="F65" s="14" t="s">
        <v>15</v>
      </c>
      <c r="G65" s="15">
        <f>SUM(G63:G64)/2</f>
        <v>1.625</v>
      </c>
      <c r="H65" s="16" t="s">
        <v>14</v>
      </c>
      <c r="I65" s="14" t="s">
        <v>15</v>
      </c>
      <c r="J65" s="15">
        <f>SUM(J63:J64)/2</f>
        <v>1.9950000000000001</v>
      </c>
      <c r="K65" s="16" t="s">
        <v>14</v>
      </c>
      <c r="L65" s="1"/>
      <c r="M65" s="1"/>
      <c r="N65" s="1"/>
      <c r="O65" s="1"/>
    </row>
    <row r="66" spans="1:15" ht="15.75" customHeight="1" x14ac:dyDescent="0.25">
      <c r="A66" s="1"/>
      <c r="B66" s="1"/>
      <c r="C66" s="20" t="s">
        <v>18</v>
      </c>
      <c r="D66" s="21" t="s">
        <v>152</v>
      </c>
      <c r="E66" s="22"/>
      <c r="F66" s="20" t="s">
        <v>18</v>
      </c>
      <c r="G66" s="21" t="s">
        <v>153</v>
      </c>
      <c r="H66" s="22"/>
      <c r="I66" s="20" t="s">
        <v>18</v>
      </c>
      <c r="J66" s="21" t="s">
        <v>154</v>
      </c>
      <c r="K66" s="22"/>
      <c r="L66" s="1"/>
      <c r="M66" s="1"/>
      <c r="N66" s="1"/>
      <c r="O66" s="1"/>
    </row>
    <row r="67" spans="1:15" ht="15.75" customHeight="1" x14ac:dyDescent="0.25">
      <c r="A67" s="1"/>
      <c r="B67" s="1"/>
      <c r="C67" s="23" t="s">
        <v>19</v>
      </c>
      <c r="D67" s="24" t="s">
        <v>155</v>
      </c>
      <c r="E67" s="25"/>
      <c r="F67" s="23" t="s">
        <v>19</v>
      </c>
      <c r="G67" s="24" t="s">
        <v>156</v>
      </c>
      <c r="H67" s="25"/>
      <c r="I67" s="23" t="s">
        <v>19</v>
      </c>
      <c r="J67" s="24" t="s">
        <v>157</v>
      </c>
      <c r="K67" s="25"/>
      <c r="L67" s="1"/>
      <c r="M67" s="1"/>
      <c r="N67" s="1"/>
      <c r="O67" s="1"/>
    </row>
    <row r="68" spans="1:15" ht="15.75" customHeight="1" x14ac:dyDescent="0.25">
      <c r="A68" s="1"/>
      <c r="B68" s="1"/>
      <c r="C68" s="143" t="s">
        <v>20</v>
      </c>
      <c r="D68" s="145">
        <f>AVERAGE(D63:D64)</f>
        <v>1.02</v>
      </c>
      <c r="E68" s="147" t="s">
        <v>21</v>
      </c>
      <c r="F68" s="143" t="s">
        <v>20</v>
      </c>
      <c r="G68" s="145">
        <f>AVERAGE(G63:G64)</f>
        <v>1.625</v>
      </c>
      <c r="H68" s="147" t="s">
        <v>21</v>
      </c>
      <c r="I68" s="143" t="s">
        <v>20</v>
      </c>
      <c r="J68" s="145">
        <f>AVERAGE(J63:J64)</f>
        <v>1.9950000000000001</v>
      </c>
      <c r="K68" s="147" t="s">
        <v>21</v>
      </c>
      <c r="L68" s="1"/>
      <c r="M68" s="1"/>
      <c r="N68" s="1"/>
      <c r="O68" s="1"/>
    </row>
    <row r="69" spans="1:15" ht="15.75" customHeight="1" x14ac:dyDescent="0.25">
      <c r="A69" s="1"/>
      <c r="B69" s="1"/>
      <c r="C69" s="144"/>
      <c r="D69" s="146"/>
      <c r="E69" s="148"/>
      <c r="F69" s="144"/>
      <c r="G69" s="146"/>
      <c r="H69" s="148"/>
      <c r="I69" s="144"/>
      <c r="J69" s="146"/>
      <c r="K69" s="148"/>
      <c r="L69" s="1"/>
      <c r="M69" s="1"/>
      <c r="N69" s="1"/>
      <c r="O69" s="1"/>
    </row>
    <row r="70" spans="1:15" ht="15.75" customHeight="1" x14ac:dyDescent="0.25">
      <c r="A70" s="1"/>
      <c r="B70" s="1"/>
      <c r="C70" s="2"/>
      <c r="D70" s="1"/>
      <c r="E70" s="1"/>
      <c r="F70" s="2"/>
      <c r="G70" s="1"/>
      <c r="H70" s="1"/>
      <c r="I70" s="2"/>
      <c r="J70" s="1"/>
      <c r="K70" s="1"/>
      <c r="L70" s="1"/>
      <c r="M70" s="1"/>
      <c r="N70" s="1"/>
      <c r="O70" s="1"/>
    </row>
    <row r="71" spans="1:15" ht="15.75" customHeight="1" x14ac:dyDescent="0.25">
      <c r="A71" s="1"/>
      <c r="B71" s="1"/>
      <c r="C71" s="34"/>
      <c r="D71" s="35"/>
      <c r="E71" s="1"/>
      <c r="F71" s="2"/>
      <c r="G71" s="1"/>
      <c r="H71" s="1"/>
      <c r="I71" s="2"/>
      <c r="J71" s="1"/>
      <c r="K71" s="1"/>
      <c r="L71" s="1"/>
      <c r="M71" s="1"/>
      <c r="N71" s="1"/>
      <c r="O71" s="1"/>
    </row>
    <row r="72" spans="1:15" ht="15.75" customHeight="1" x14ac:dyDescent="0.25">
      <c r="A72" s="1"/>
      <c r="B72" s="1"/>
      <c r="C72" s="184" t="s">
        <v>158</v>
      </c>
      <c r="D72" s="156"/>
      <c r="E72" s="156"/>
      <c r="F72" s="156"/>
      <c r="G72" s="156"/>
      <c r="H72" s="156"/>
      <c r="I72" s="156"/>
      <c r="J72" s="156"/>
      <c r="K72" s="156"/>
      <c r="L72" s="156"/>
      <c r="M72" s="156"/>
      <c r="N72" s="156"/>
      <c r="O72" s="157"/>
    </row>
    <row r="73" spans="1:15" ht="15.75" customHeight="1" x14ac:dyDescent="0.25">
      <c r="A73" s="1"/>
      <c r="B73" s="1"/>
      <c r="C73" s="158"/>
      <c r="D73" s="159"/>
      <c r="E73" s="159"/>
      <c r="F73" s="159"/>
      <c r="G73" s="159"/>
      <c r="H73" s="159"/>
      <c r="I73" s="159"/>
      <c r="J73" s="159"/>
      <c r="K73" s="159"/>
      <c r="L73" s="159"/>
      <c r="M73" s="159"/>
      <c r="N73" s="159"/>
      <c r="O73" s="160"/>
    </row>
    <row r="74" spans="1:15" ht="15.75" customHeight="1" x14ac:dyDescent="0.25">
      <c r="A74" s="1"/>
      <c r="B74" s="1"/>
      <c r="C74" s="34"/>
      <c r="D74" s="35"/>
      <c r="E74" s="1"/>
      <c r="F74" s="2"/>
      <c r="G74" s="1"/>
      <c r="H74" s="1"/>
      <c r="I74" s="2"/>
      <c r="J74" s="1"/>
      <c r="K74" s="1"/>
      <c r="L74" s="1"/>
      <c r="M74" s="1"/>
      <c r="N74" s="1"/>
      <c r="O74" s="1"/>
    </row>
    <row r="75" spans="1:15" ht="15.75" customHeight="1" x14ac:dyDescent="0.25">
      <c r="A75" s="1"/>
      <c r="B75" s="1"/>
      <c r="C75" s="2"/>
      <c r="D75" s="1"/>
      <c r="E75" s="1"/>
      <c r="F75" s="56" t="s">
        <v>9</v>
      </c>
      <c r="G75" s="56" t="s">
        <v>10</v>
      </c>
      <c r="H75" s="56" t="s">
        <v>11</v>
      </c>
      <c r="I75" s="2"/>
      <c r="J75" s="1"/>
      <c r="K75" s="1"/>
      <c r="L75" s="1"/>
      <c r="M75" s="1"/>
      <c r="N75" s="1"/>
      <c r="O75" s="1"/>
    </row>
    <row r="76" spans="1:15" ht="15.75" customHeight="1" x14ac:dyDescent="0.25">
      <c r="A76" s="1"/>
      <c r="B76" s="1"/>
      <c r="C76" s="2"/>
      <c r="D76" s="1"/>
      <c r="E76" s="57" t="s">
        <v>48</v>
      </c>
      <c r="F76" s="58">
        <f>D26</f>
        <v>1.006</v>
      </c>
      <c r="G76" s="58">
        <f>G26</f>
        <v>1.675</v>
      </c>
      <c r="H76" s="58">
        <f>J26</f>
        <v>1.9669999999999999</v>
      </c>
      <c r="I76" s="60" t="s">
        <v>49</v>
      </c>
      <c r="J76" s="61" t="s">
        <v>159</v>
      </c>
      <c r="K76" s="62"/>
      <c r="L76" s="1"/>
      <c r="M76" s="1"/>
      <c r="N76" s="1"/>
      <c r="O76" s="1"/>
    </row>
    <row r="77" spans="1:15" ht="15.75" customHeight="1" x14ac:dyDescent="0.25">
      <c r="A77" s="1"/>
      <c r="B77" s="1"/>
      <c r="C77" s="2"/>
      <c r="D77" s="1"/>
      <c r="E77" s="1"/>
      <c r="F77" s="2"/>
      <c r="G77" s="1"/>
      <c r="H77" s="1"/>
      <c r="I77" s="2"/>
      <c r="J77" s="1"/>
      <c r="K77" s="1"/>
      <c r="L77" s="1"/>
      <c r="M77" s="1"/>
      <c r="N77" s="1"/>
      <c r="O77" s="1"/>
    </row>
    <row r="78" spans="1:15" ht="15.75" customHeight="1" x14ac:dyDescent="0.25">
      <c r="A78" s="1"/>
      <c r="B78" s="1"/>
      <c r="C78" s="2"/>
      <c r="D78" s="1"/>
      <c r="E78" s="1"/>
      <c r="F78" s="2"/>
      <c r="G78" s="1"/>
      <c r="H78" s="1"/>
      <c r="I78" s="2"/>
      <c r="J78" s="1"/>
      <c r="K78" s="1"/>
      <c r="L78" s="1"/>
      <c r="M78" s="1"/>
      <c r="N78" s="1"/>
      <c r="O78" s="1"/>
    </row>
    <row r="79" spans="1:15" ht="15.75" customHeight="1" x14ac:dyDescent="0.25">
      <c r="A79" s="1"/>
      <c r="B79" s="3" t="s">
        <v>51</v>
      </c>
      <c r="C79" s="4" t="s">
        <v>52</v>
      </c>
      <c r="D79" s="1"/>
      <c r="E79" s="1"/>
      <c r="F79" s="2"/>
      <c r="G79" s="1"/>
      <c r="H79" s="1"/>
      <c r="I79" s="2"/>
      <c r="J79" s="1"/>
      <c r="K79" s="1"/>
      <c r="L79" s="1"/>
      <c r="M79" s="1"/>
      <c r="N79" s="1"/>
      <c r="O79" s="1"/>
    </row>
    <row r="80" spans="1:15" ht="15.75" customHeight="1" x14ac:dyDescent="0.25">
      <c r="A80" s="1"/>
      <c r="B80" s="1"/>
      <c r="C80" s="2"/>
      <c r="D80" s="1"/>
      <c r="E80" s="1"/>
      <c r="F80" s="2"/>
      <c r="G80" s="1"/>
      <c r="H80" s="1"/>
      <c r="I80" s="2"/>
      <c r="J80" s="1"/>
      <c r="K80" s="1"/>
      <c r="L80" s="1"/>
      <c r="M80" s="1"/>
      <c r="N80" s="1"/>
      <c r="O80" s="1"/>
    </row>
    <row r="81" spans="1:15" ht="15.75" customHeight="1" x14ac:dyDescent="0.25">
      <c r="A81" s="1"/>
      <c r="B81" s="1"/>
      <c r="C81" s="2"/>
      <c r="D81" s="1"/>
      <c r="E81" s="1"/>
      <c r="F81" s="2"/>
      <c r="G81" s="1"/>
      <c r="H81" s="1"/>
      <c r="I81" s="2"/>
      <c r="J81" s="1"/>
      <c r="K81" s="1"/>
      <c r="L81" s="1"/>
      <c r="M81" s="1"/>
      <c r="N81" s="1"/>
      <c r="O81" s="1"/>
    </row>
    <row r="82" spans="1:15" ht="15.75" customHeight="1" x14ac:dyDescent="0.25">
      <c r="A82" s="1"/>
      <c r="B82" s="1"/>
      <c r="C82" s="2"/>
      <c r="D82" s="1"/>
      <c r="E82" s="1"/>
      <c r="F82" s="2"/>
      <c r="G82" s="1"/>
      <c r="H82" s="2"/>
      <c r="I82" s="56" t="s">
        <v>9</v>
      </c>
      <c r="J82" s="56" t="s">
        <v>10</v>
      </c>
      <c r="K82" s="56" t="s">
        <v>11</v>
      </c>
      <c r="L82" s="1"/>
      <c r="M82" s="1"/>
      <c r="N82" s="1"/>
      <c r="O82" s="1"/>
    </row>
    <row r="83" spans="1:15" ht="15.75" customHeight="1" x14ac:dyDescent="0.25">
      <c r="A83" s="1"/>
      <c r="B83" s="1"/>
      <c r="C83" s="2"/>
      <c r="D83" s="1"/>
      <c r="E83" s="1"/>
      <c r="F83" s="2"/>
      <c r="G83" s="1"/>
      <c r="H83" s="4" t="s">
        <v>53</v>
      </c>
      <c r="I83" s="63">
        <v>0.13</v>
      </c>
      <c r="J83" s="63">
        <v>0.08</v>
      </c>
      <c r="K83" s="63">
        <v>0.15</v>
      </c>
      <c r="L83" s="1"/>
      <c r="M83" s="1"/>
      <c r="N83" s="1"/>
      <c r="O83" s="1"/>
    </row>
    <row r="84" spans="1:15" ht="15.75" customHeight="1" x14ac:dyDescent="0.25">
      <c r="A84" s="1"/>
      <c r="B84" s="1"/>
      <c r="C84" s="2"/>
      <c r="D84" s="1"/>
      <c r="E84" s="1"/>
      <c r="F84" s="2"/>
      <c r="G84" s="1"/>
      <c r="H84" s="4" t="s">
        <v>54</v>
      </c>
      <c r="I84" s="64">
        <v>0.1</v>
      </c>
      <c r="J84" s="64">
        <v>0.1</v>
      </c>
      <c r="K84" s="64">
        <v>0.1</v>
      </c>
      <c r="L84" s="1"/>
      <c r="M84" s="1"/>
      <c r="N84" s="1"/>
      <c r="O84" s="1"/>
    </row>
    <row r="85" spans="1:15" ht="15.75" customHeight="1" x14ac:dyDescent="0.25">
      <c r="A85" s="1"/>
      <c r="B85" s="1"/>
      <c r="C85" s="2"/>
      <c r="D85" s="1"/>
      <c r="E85" s="1"/>
      <c r="F85" s="2"/>
      <c r="G85" s="1"/>
      <c r="H85" s="4" t="s">
        <v>55</v>
      </c>
      <c r="I85" s="63">
        <v>0.04</v>
      </c>
      <c r="J85" s="63">
        <v>0.06</v>
      </c>
      <c r="K85" s="63">
        <v>0.04</v>
      </c>
      <c r="L85" s="1"/>
      <c r="M85" s="1"/>
      <c r="N85" s="1"/>
      <c r="O85" s="1"/>
    </row>
    <row r="86" spans="1:15" ht="15.75" customHeight="1" x14ac:dyDescent="0.25">
      <c r="A86" s="1"/>
      <c r="B86" s="1"/>
      <c r="C86" s="2"/>
      <c r="D86" s="1"/>
      <c r="E86" s="1"/>
      <c r="F86" s="2"/>
      <c r="G86" s="1"/>
      <c r="H86" s="4" t="s">
        <v>56</v>
      </c>
      <c r="I86" s="63">
        <v>-0.02</v>
      </c>
      <c r="J86" s="63">
        <v>-0.02</v>
      </c>
      <c r="K86" s="63">
        <v>0.04</v>
      </c>
      <c r="L86" s="1"/>
      <c r="M86" s="1"/>
      <c r="N86" s="1"/>
      <c r="O86" s="1"/>
    </row>
    <row r="87" spans="1:15" ht="15.75" customHeight="1" x14ac:dyDescent="0.25">
      <c r="A87" s="1"/>
      <c r="B87" s="1"/>
      <c r="C87" s="2"/>
      <c r="D87" s="1"/>
      <c r="E87" s="1"/>
      <c r="F87" s="2"/>
      <c r="G87" s="1"/>
      <c r="H87" s="65" t="s">
        <v>57</v>
      </c>
      <c r="I87" s="56">
        <f t="shared" ref="I87:K87" si="0">SUM(I83:I86)</f>
        <v>0.25</v>
      </c>
      <c r="J87" s="56">
        <f t="shared" si="0"/>
        <v>0.22</v>
      </c>
      <c r="K87" s="56">
        <f t="shared" si="0"/>
        <v>0.32999999999999996</v>
      </c>
      <c r="L87" s="1"/>
      <c r="M87" s="1"/>
      <c r="N87" s="1"/>
      <c r="O87" s="1"/>
    </row>
    <row r="88" spans="1:15" ht="15.75" customHeight="1" x14ac:dyDescent="0.25">
      <c r="A88" s="1"/>
      <c r="B88" s="1"/>
      <c r="C88" s="2"/>
      <c r="D88" s="1"/>
      <c r="E88" s="1"/>
      <c r="F88" s="2"/>
      <c r="G88" s="1"/>
      <c r="H88" s="66" t="s">
        <v>18</v>
      </c>
      <c r="I88" s="67" t="s">
        <v>160</v>
      </c>
      <c r="J88" s="67" t="s">
        <v>161</v>
      </c>
      <c r="K88" s="68" t="s">
        <v>162</v>
      </c>
      <c r="L88" s="1"/>
      <c r="M88" s="1"/>
      <c r="N88" s="1"/>
      <c r="O88" s="1"/>
    </row>
    <row r="89" spans="1:15" ht="15.75" customHeight="1" x14ac:dyDescent="0.25">
      <c r="A89" s="1"/>
      <c r="B89" s="1"/>
      <c r="C89" s="2"/>
      <c r="D89" s="1"/>
      <c r="E89" s="1"/>
      <c r="F89" s="2"/>
      <c r="G89" s="1"/>
      <c r="H89" s="1"/>
      <c r="I89" s="2"/>
      <c r="J89" s="1"/>
      <c r="K89" s="1"/>
      <c r="L89" s="1"/>
      <c r="M89" s="1"/>
      <c r="N89" s="1"/>
      <c r="O89" s="1"/>
    </row>
    <row r="90" spans="1:15" ht="15.75" customHeight="1" x14ac:dyDescent="0.25">
      <c r="A90" s="1"/>
      <c r="B90" s="1"/>
      <c r="C90" s="2"/>
      <c r="D90" s="1"/>
      <c r="E90" s="1"/>
      <c r="F90" s="2"/>
      <c r="G90" s="69"/>
      <c r="H90" s="70" t="s">
        <v>60</v>
      </c>
      <c r="I90" s="71">
        <f t="shared" ref="I90:K90" si="1">I87</f>
        <v>0.25</v>
      </c>
      <c r="J90" s="71">
        <f t="shared" si="1"/>
        <v>0.22</v>
      </c>
      <c r="K90" s="71">
        <f t="shared" si="1"/>
        <v>0.32999999999999996</v>
      </c>
      <c r="L90" s="1"/>
      <c r="M90" s="1"/>
      <c r="N90" s="1"/>
      <c r="O90" s="1"/>
    </row>
    <row r="91" spans="1:15" ht="15.75" customHeight="1" x14ac:dyDescent="0.25">
      <c r="A91" s="1"/>
      <c r="B91" s="1"/>
      <c r="C91" s="2"/>
      <c r="D91" s="1"/>
      <c r="E91" s="1"/>
      <c r="F91" s="2"/>
      <c r="G91" s="1"/>
      <c r="H91" s="1"/>
      <c r="I91" s="2"/>
      <c r="J91" s="1"/>
      <c r="K91" s="1"/>
      <c r="L91" s="1"/>
      <c r="M91" s="1"/>
      <c r="N91" s="1"/>
      <c r="O91" s="1"/>
    </row>
    <row r="92" spans="1:15" ht="15.75" customHeight="1" x14ac:dyDescent="0.25">
      <c r="A92" s="1"/>
      <c r="B92" s="1"/>
      <c r="C92" s="2"/>
      <c r="D92" s="1"/>
      <c r="E92" s="1"/>
      <c r="F92" s="2"/>
      <c r="G92" s="1"/>
      <c r="H92" s="72" t="s">
        <v>61</v>
      </c>
      <c r="I92" s="73" t="s">
        <v>62</v>
      </c>
      <c r="J92" s="73" t="s">
        <v>63</v>
      </c>
      <c r="K92" s="73" t="s">
        <v>64</v>
      </c>
      <c r="L92" s="1"/>
      <c r="M92" s="1"/>
      <c r="N92" s="1"/>
      <c r="O92" s="1"/>
    </row>
    <row r="93" spans="1:15" ht="15.75" customHeight="1" x14ac:dyDescent="0.25">
      <c r="A93" s="1"/>
      <c r="B93" s="1"/>
      <c r="C93" s="2"/>
      <c r="D93" s="1"/>
      <c r="E93" s="1"/>
      <c r="F93" s="2"/>
      <c r="G93" s="1"/>
      <c r="H93" s="72" t="s">
        <v>61</v>
      </c>
      <c r="I93" s="73" t="s">
        <v>65</v>
      </c>
      <c r="J93" s="73" t="s">
        <v>66</v>
      </c>
      <c r="K93" s="73" t="s">
        <v>67</v>
      </c>
      <c r="L93" s="1"/>
      <c r="M93" s="1"/>
      <c r="N93" s="1"/>
      <c r="O93" s="1"/>
    </row>
    <row r="94" spans="1:15" ht="15.75" customHeight="1" x14ac:dyDescent="0.25">
      <c r="A94" s="1"/>
      <c r="B94" s="1"/>
      <c r="C94" s="2"/>
      <c r="D94" s="1"/>
      <c r="E94" s="1"/>
      <c r="F94" s="2"/>
      <c r="G94" s="74"/>
      <c r="H94" s="70" t="s">
        <v>61</v>
      </c>
      <c r="I94" s="71">
        <f t="shared" ref="I94:K94" si="2">1+I90</f>
        <v>1.25</v>
      </c>
      <c r="J94" s="71">
        <f t="shared" si="2"/>
        <v>1.22</v>
      </c>
      <c r="K94" s="71">
        <f t="shared" si="2"/>
        <v>1.33</v>
      </c>
      <c r="L94" s="1"/>
      <c r="M94" s="1"/>
      <c r="N94" s="1"/>
      <c r="O94" s="1"/>
    </row>
    <row r="95" spans="1:15" ht="15.75" customHeight="1" x14ac:dyDescent="0.25">
      <c r="A95" s="1"/>
      <c r="B95" s="1"/>
      <c r="C95" s="2"/>
      <c r="D95" s="1"/>
      <c r="E95" s="1"/>
      <c r="F95" s="2"/>
      <c r="G95" s="1"/>
      <c r="H95" s="1"/>
      <c r="I95" s="2"/>
      <c r="J95" s="1"/>
      <c r="K95" s="1"/>
      <c r="L95" s="1"/>
      <c r="M95" s="1"/>
      <c r="N95" s="1"/>
      <c r="O95" s="1"/>
    </row>
    <row r="96" spans="1:15" ht="15.75" customHeight="1" x14ac:dyDescent="0.25">
      <c r="A96" s="1"/>
      <c r="B96" s="1"/>
      <c r="C96" s="2"/>
      <c r="D96" s="1"/>
      <c r="E96" s="1"/>
      <c r="F96" s="2"/>
      <c r="G96" s="1"/>
      <c r="H96" s="75"/>
      <c r="I96" s="2"/>
      <c r="J96" s="1"/>
      <c r="K96" s="1"/>
      <c r="L96" s="1"/>
      <c r="M96" s="1"/>
      <c r="N96" s="1"/>
      <c r="O96" s="1"/>
    </row>
    <row r="97" spans="1:15" ht="15.75" customHeight="1" x14ac:dyDescent="0.25">
      <c r="A97" s="1"/>
      <c r="B97" s="1"/>
      <c r="C97" s="2"/>
      <c r="D97" s="1"/>
      <c r="E97" s="1"/>
      <c r="F97" s="2"/>
      <c r="G97" s="1"/>
      <c r="H97" s="1"/>
      <c r="I97" s="2"/>
      <c r="J97" s="1"/>
      <c r="K97" s="1"/>
      <c r="L97" s="1"/>
      <c r="M97" s="1"/>
      <c r="N97" s="1"/>
      <c r="O97" s="1"/>
    </row>
    <row r="98" spans="1:15" ht="15.75" customHeight="1" x14ac:dyDescent="0.25">
      <c r="A98" s="1"/>
      <c r="B98" s="1"/>
      <c r="C98" s="2"/>
      <c r="D98" s="1"/>
      <c r="E98" s="1"/>
      <c r="F98" s="2"/>
      <c r="G98" s="1"/>
      <c r="H98" s="1"/>
      <c r="I98" s="2"/>
      <c r="J98" s="1"/>
      <c r="K98" s="1"/>
      <c r="L98" s="1"/>
      <c r="M98" s="1"/>
      <c r="N98" s="1"/>
      <c r="O98" s="1"/>
    </row>
    <row r="99" spans="1:15" ht="15.75" customHeight="1" x14ac:dyDescent="0.25">
      <c r="A99" s="1"/>
      <c r="B99" s="3" t="s">
        <v>68</v>
      </c>
      <c r="C99" s="4" t="s">
        <v>69</v>
      </c>
      <c r="D99" s="1"/>
      <c r="E99" s="1"/>
      <c r="F99" s="2"/>
      <c r="G99" s="1"/>
      <c r="H99" s="1"/>
      <c r="I99" s="2"/>
      <c r="J99" s="1"/>
      <c r="K99" s="1"/>
      <c r="L99" s="1"/>
      <c r="M99" s="1"/>
      <c r="N99" s="1"/>
      <c r="O99" s="1"/>
    </row>
    <row r="100" spans="1:15" ht="15.75" customHeight="1" x14ac:dyDescent="0.25">
      <c r="A100" s="1"/>
      <c r="B100" s="1"/>
      <c r="C100" s="2"/>
      <c r="D100" s="1"/>
      <c r="E100" s="1"/>
      <c r="F100" s="2"/>
      <c r="G100" s="1"/>
      <c r="H100" s="1"/>
      <c r="I100" s="2"/>
      <c r="J100" s="1"/>
      <c r="K100" s="1"/>
      <c r="L100" s="1"/>
      <c r="M100" s="1"/>
      <c r="N100" s="1"/>
      <c r="O100" s="1"/>
    </row>
    <row r="101" spans="1:15" ht="15.75" customHeight="1" x14ac:dyDescent="0.25">
      <c r="A101" s="1"/>
      <c r="B101" s="1"/>
      <c r="C101" s="2"/>
      <c r="D101" s="55" t="s">
        <v>70</v>
      </c>
      <c r="E101" s="1"/>
      <c r="F101" s="76" t="s">
        <v>71</v>
      </c>
      <c r="G101" s="77"/>
      <c r="H101" s="77"/>
      <c r="I101" s="78"/>
      <c r="J101" s="1"/>
      <c r="K101" s="1"/>
      <c r="L101" s="1"/>
      <c r="M101" s="1"/>
      <c r="N101" s="1"/>
      <c r="O101" s="1"/>
    </row>
    <row r="102" spans="1:15" ht="15.75" customHeight="1" x14ac:dyDescent="0.25">
      <c r="A102" s="1"/>
      <c r="B102" s="1"/>
      <c r="C102" s="2"/>
      <c r="D102" s="1"/>
      <c r="E102" s="1"/>
      <c r="F102" s="2"/>
      <c r="G102" s="1"/>
      <c r="H102" s="1"/>
      <c r="I102" s="2"/>
      <c r="J102" s="1"/>
      <c r="K102" s="1"/>
      <c r="L102" s="1"/>
      <c r="M102" s="1"/>
      <c r="N102" s="1"/>
      <c r="O102" s="1"/>
    </row>
    <row r="103" spans="1:15" ht="15.75" customHeight="1" x14ac:dyDescent="0.25">
      <c r="A103" s="1"/>
      <c r="B103" s="1"/>
      <c r="C103" s="2"/>
      <c r="D103" s="55" t="s">
        <v>72</v>
      </c>
      <c r="E103" s="1"/>
      <c r="F103" s="49" t="s">
        <v>73</v>
      </c>
      <c r="G103" s="177" t="s">
        <v>74</v>
      </c>
      <c r="H103" s="162"/>
      <c r="I103" s="2"/>
      <c r="J103" s="79" t="s">
        <v>75</v>
      </c>
      <c r="K103" s="80"/>
      <c r="L103" s="1"/>
      <c r="M103" s="1"/>
      <c r="N103" s="1"/>
      <c r="O103" s="1"/>
    </row>
    <row r="104" spans="1:15" ht="15.75" customHeight="1" x14ac:dyDescent="0.25">
      <c r="A104" s="1"/>
      <c r="B104" s="1"/>
      <c r="C104" s="2"/>
      <c r="D104" s="81" t="s">
        <v>9</v>
      </c>
      <c r="E104" s="82">
        <f>F76</f>
        <v>1.006</v>
      </c>
      <c r="F104" s="71">
        <f>I94</f>
        <v>1.25</v>
      </c>
      <c r="G104" s="83">
        <f t="shared" ref="G104:G106" si="3">E104*F104</f>
        <v>1.2575000000000001</v>
      </c>
      <c r="H104" s="84" t="s">
        <v>21</v>
      </c>
      <c r="I104" s="2"/>
      <c r="J104" s="85">
        <f>G104+G105+G106</f>
        <v>5.9171100000000001</v>
      </c>
      <c r="K104" s="79" t="s">
        <v>21</v>
      </c>
      <c r="L104" s="1"/>
      <c r="M104" s="1"/>
      <c r="N104" s="1"/>
      <c r="O104" s="1"/>
    </row>
    <row r="105" spans="1:15" ht="15.75" customHeight="1" x14ac:dyDescent="0.25">
      <c r="A105" s="1"/>
      <c r="B105" s="1"/>
      <c r="C105" s="2"/>
      <c r="D105" s="81" t="s">
        <v>10</v>
      </c>
      <c r="E105" s="82">
        <f>G76</f>
        <v>1.675</v>
      </c>
      <c r="F105" s="71">
        <f>J94</f>
        <v>1.22</v>
      </c>
      <c r="G105" s="83">
        <f t="shared" si="3"/>
        <v>2.0434999999999999</v>
      </c>
      <c r="H105" s="84" t="s">
        <v>21</v>
      </c>
      <c r="I105" s="2"/>
      <c r="J105" s="77" t="s">
        <v>163</v>
      </c>
      <c r="K105" s="1"/>
      <c r="L105" s="1"/>
      <c r="M105" s="1"/>
      <c r="N105" s="1"/>
      <c r="O105" s="1"/>
    </row>
    <row r="106" spans="1:15" ht="15.75" customHeight="1" x14ac:dyDescent="0.25">
      <c r="A106" s="1"/>
      <c r="B106" s="1"/>
      <c r="C106" s="2"/>
      <c r="D106" s="81" t="s">
        <v>11</v>
      </c>
      <c r="E106" s="82">
        <f>H76</f>
        <v>1.9669999999999999</v>
      </c>
      <c r="F106" s="71">
        <f>K94</f>
        <v>1.33</v>
      </c>
      <c r="G106" s="83">
        <f t="shared" si="3"/>
        <v>2.6161099999999999</v>
      </c>
      <c r="H106" s="84" t="s">
        <v>21</v>
      </c>
      <c r="I106" s="2"/>
      <c r="J106" s="1"/>
      <c r="K106" s="1"/>
      <c r="L106" s="1"/>
      <c r="M106" s="1"/>
      <c r="N106" s="1"/>
      <c r="O106" s="1"/>
    </row>
    <row r="107" spans="1:15" ht="15.75" customHeight="1" x14ac:dyDescent="0.25">
      <c r="A107" s="1"/>
      <c r="B107" s="1"/>
      <c r="C107" s="2"/>
      <c r="D107" s="1"/>
      <c r="E107" s="1"/>
      <c r="F107" s="2"/>
      <c r="G107" s="1"/>
      <c r="H107" s="1"/>
      <c r="I107" s="2"/>
      <c r="J107" s="1"/>
      <c r="K107" s="1"/>
      <c r="L107" s="1"/>
      <c r="M107" s="1"/>
      <c r="N107" s="1"/>
      <c r="O107" s="1"/>
    </row>
    <row r="108" spans="1:15" ht="15.75" customHeight="1" x14ac:dyDescent="0.25">
      <c r="A108" s="1"/>
      <c r="B108" s="1"/>
      <c r="C108" s="2"/>
      <c r="D108" s="1"/>
      <c r="E108" s="1"/>
      <c r="F108" s="2"/>
      <c r="G108" s="1"/>
      <c r="H108" s="1"/>
      <c r="I108" s="2"/>
      <c r="J108" s="1"/>
      <c r="K108" s="1"/>
      <c r="L108" s="1"/>
      <c r="M108" s="1"/>
      <c r="N108" s="1"/>
      <c r="O108" s="1"/>
    </row>
    <row r="109" spans="1:15" ht="15.75" customHeight="1" x14ac:dyDescent="0.25">
      <c r="A109" s="1"/>
      <c r="B109" s="3" t="s">
        <v>77</v>
      </c>
      <c r="C109" s="4" t="s">
        <v>78</v>
      </c>
      <c r="D109" s="1"/>
      <c r="E109" s="1"/>
      <c r="F109" s="2"/>
      <c r="G109" s="1"/>
      <c r="H109" s="1"/>
      <c r="I109" s="2"/>
      <c r="J109" s="1"/>
      <c r="K109" s="1"/>
      <c r="L109" s="1"/>
      <c r="M109" s="1"/>
      <c r="N109" s="1"/>
      <c r="O109" s="1"/>
    </row>
    <row r="110" spans="1:15" ht="15.75" customHeight="1" x14ac:dyDescent="0.25">
      <c r="A110" s="1"/>
      <c r="B110" s="1"/>
      <c r="C110" s="2"/>
      <c r="D110" s="1"/>
      <c r="E110" s="1"/>
      <c r="F110" s="2"/>
      <c r="G110" s="1"/>
      <c r="H110" s="1"/>
      <c r="I110" s="2"/>
      <c r="J110" s="1"/>
      <c r="K110" s="1"/>
      <c r="L110" s="1"/>
      <c r="M110" s="1"/>
      <c r="N110" s="1"/>
      <c r="O110" s="1"/>
    </row>
    <row r="111" spans="1:15" ht="15.75" customHeight="1" x14ac:dyDescent="0.25">
      <c r="A111" s="1"/>
      <c r="B111" s="1"/>
      <c r="C111" s="2"/>
      <c r="D111" s="1"/>
      <c r="E111" s="1"/>
      <c r="F111" s="2"/>
      <c r="G111" s="178" t="s">
        <v>79</v>
      </c>
      <c r="H111" s="162"/>
      <c r="I111" s="162"/>
      <c r="J111" s="162"/>
      <c r="K111" s="162"/>
      <c r="L111" s="1"/>
      <c r="M111" s="1"/>
      <c r="N111" s="1"/>
      <c r="O111" s="1"/>
    </row>
    <row r="112" spans="1:15" ht="15.75" customHeight="1" x14ac:dyDescent="0.25">
      <c r="A112" s="1"/>
      <c r="B112" s="1"/>
      <c r="C112" s="2"/>
      <c r="D112" s="1"/>
      <c r="E112" s="1"/>
      <c r="F112" s="2"/>
      <c r="G112" s="162"/>
      <c r="H112" s="162"/>
      <c r="I112" s="162"/>
      <c r="J112" s="162"/>
      <c r="K112" s="162"/>
      <c r="L112" s="1"/>
      <c r="M112" s="1"/>
      <c r="N112" s="1"/>
      <c r="O112" s="1"/>
    </row>
    <row r="113" spans="1:15" ht="15.75" customHeight="1" x14ac:dyDescent="0.25">
      <c r="A113" s="1"/>
      <c r="B113" s="1"/>
      <c r="C113" s="2"/>
      <c r="D113" s="1"/>
      <c r="E113" s="1"/>
      <c r="F113" s="2"/>
      <c r="G113" s="162"/>
      <c r="H113" s="162"/>
      <c r="I113" s="162"/>
      <c r="J113" s="162"/>
      <c r="K113" s="162"/>
      <c r="L113" s="1"/>
      <c r="M113" s="1"/>
      <c r="N113" s="1"/>
      <c r="O113" s="1"/>
    </row>
    <row r="114" spans="1:15" ht="15.75" customHeight="1" x14ac:dyDescent="0.25">
      <c r="A114" s="1"/>
      <c r="B114" s="1"/>
      <c r="C114" s="2"/>
      <c r="D114" s="1"/>
      <c r="E114" s="1"/>
      <c r="F114" s="2"/>
      <c r="G114" s="162"/>
      <c r="H114" s="162"/>
      <c r="I114" s="162"/>
      <c r="J114" s="162"/>
      <c r="K114" s="162"/>
      <c r="L114" s="1"/>
      <c r="M114" s="1"/>
      <c r="N114" s="1"/>
      <c r="O114" s="1"/>
    </row>
    <row r="115" spans="1:15" ht="15.75" customHeight="1" x14ac:dyDescent="0.25">
      <c r="A115" s="1"/>
      <c r="B115" s="1"/>
      <c r="C115" s="2"/>
      <c r="D115" s="1"/>
      <c r="E115" s="1"/>
      <c r="F115" s="2"/>
      <c r="G115" s="162"/>
      <c r="H115" s="162"/>
      <c r="I115" s="162"/>
      <c r="J115" s="162"/>
      <c r="K115" s="162"/>
      <c r="L115" s="1"/>
      <c r="M115" s="1"/>
      <c r="N115" s="1"/>
      <c r="O115" s="1"/>
    </row>
    <row r="116" spans="1:15" ht="15.75" customHeight="1" x14ac:dyDescent="0.25">
      <c r="A116" s="1"/>
      <c r="B116" s="1"/>
      <c r="C116" s="2"/>
      <c r="D116" s="1"/>
      <c r="E116" s="1"/>
      <c r="F116" s="2"/>
      <c r="G116" s="162"/>
      <c r="H116" s="162"/>
      <c r="I116" s="162"/>
      <c r="J116" s="162"/>
      <c r="K116" s="162"/>
      <c r="L116" s="1"/>
      <c r="M116" s="1"/>
      <c r="N116" s="1"/>
      <c r="O116" s="1"/>
    </row>
    <row r="117" spans="1:15" ht="15.75" customHeight="1" x14ac:dyDescent="0.25">
      <c r="A117" s="1"/>
      <c r="B117" s="1"/>
      <c r="C117" s="2"/>
      <c r="D117" s="1"/>
      <c r="E117" s="1"/>
      <c r="F117" s="2"/>
      <c r="G117" s="1"/>
      <c r="H117" s="1"/>
      <c r="I117" s="2"/>
      <c r="J117" s="1"/>
      <c r="K117" s="1"/>
      <c r="L117" s="1"/>
      <c r="M117" s="1"/>
      <c r="N117" s="1"/>
      <c r="O117" s="1"/>
    </row>
    <row r="118" spans="1:15" ht="15" customHeight="1" x14ac:dyDescent="0.25">
      <c r="A118" s="1"/>
      <c r="B118" s="1"/>
      <c r="C118" s="2"/>
      <c r="D118" s="1"/>
      <c r="E118" s="1"/>
      <c r="F118" s="2"/>
      <c r="G118" s="178" t="s">
        <v>80</v>
      </c>
      <c r="H118" s="162"/>
      <c r="I118" s="162"/>
      <c r="J118" s="162"/>
      <c r="K118" s="162"/>
      <c r="L118" s="1"/>
      <c r="M118" s="1"/>
      <c r="N118" s="1"/>
      <c r="O118" s="1"/>
    </row>
    <row r="119" spans="1:15" ht="15.75" customHeight="1" x14ac:dyDescent="0.25">
      <c r="A119" s="1"/>
      <c r="B119" s="1"/>
      <c r="C119" s="2"/>
      <c r="D119" s="1"/>
      <c r="E119" s="1"/>
      <c r="F119" s="2"/>
      <c r="G119" s="162"/>
      <c r="H119" s="162"/>
      <c r="I119" s="162"/>
      <c r="J119" s="162"/>
      <c r="K119" s="162"/>
      <c r="L119" s="1"/>
      <c r="M119" s="1"/>
      <c r="N119" s="1"/>
      <c r="O119" s="1"/>
    </row>
    <row r="120" spans="1:15" ht="15.75" customHeight="1" x14ac:dyDescent="0.25">
      <c r="A120" s="1"/>
      <c r="B120" s="1"/>
      <c r="C120" s="2"/>
      <c r="D120" s="1"/>
      <c r="E120" s="1"/>
      <c r="F120" s="2"/>
      <c r="G120" s="162"/>
      <c r="H120" s="162"/>
      <c r="I120" s="162"/>
      <c r="J120" s="162"/>
      <c r="K120" s="162"/>
      <c r="L120" s="1"/>
      <c r="M120" s="1"/>
      <c r="N120" s="1"/>
      <c r="O120" s="1"/>
    </row>
    <row r="121" spans="1:15" ht="15.75" customHeight="1" x14ac:dyDescent="0.25">
      <c r="A121" s="1"/>
      <c r="B121" s="1"/>
      <c r="C121" s="2"/>
      <c r="D121" s="1"/>
      <c r="E121" s="1"/>
      <c r="F121" s="2"/>
      <c r="G121" s="162"/>
      <c r="H121" s="162"/>
      <c r="I121" s="162"/>
      <c r="J121" s="162"/>
      <c r="K121" s="162"/>
      <c r="L121" s="1"/>
      <c r="M121" s="1"/>
      <c r="N121" s="1"/>
      <c r="O121" s="1"/>
    </row>
    <row r="122" spans="1:15" ht="15.75" customHeight="1" x14ac:dyDescent="0.25">
      <c r="A122" s="1"/>
      <c r="B122" s="1"/>
      <c r="C122" s="2"/>
      <c r="D122" s="1"/>
      <c r="E122" s="1"/>
      <c r="F122" s="2"/>
      <c r="G122" s="162"/>
      <c r="H122" s="162"/>
      <c r="I122" s="162"/>
      <c r="J122" s="162"/>
      <c r="K122" s="162"/>
      <c r="L122" s="1"/>
      <c r="M122" s="1"/>
      <c r="N122" s="1"/>
      <c r="O122" s="1"/>
    </row>
    <row r="123" spans="1:15" ht="15.75" customHeight="1" x14ac:dyDescent="0.25">
      <c r="A123" s="1"/>
      <c r="B123" s="1"/>
      <c r="C123" s="2"/>
      <c r="D123" s="1"/>
      <c r="E123" s="1"/>
      <c r="F123" s="2"/>
      <c r="G123" s="162"/>
      <c r="H123" s="162"/>
      <c r="I123" s="162"/>
      <c r="J123" s="162"/>
      <c r="K123" s="162"/>
      <c r="L123" s="1"/>
      <c r="M123" s="1"/>
      <c r="N123" s="1"/>
      <c r="O123" s="1"/>
    </row>
    <row r="124" spans="1:15" ht="15.75" customHeight="1" x14ac:dyDescent="0.25">
      <c r="A124" s="1"/>
      <c r="B124" s="1"/>
      <c r="C124" s="2"/>
      <c r="D124" s="1"/>
      <c r="E124" s="1"/>
      <c r="F124" s="2"/>
      <c r="G124" s="162"/>
      <c r="H124" s="162"/>
      <c r="I124" s="162"/>
      <c r="J124" s="162"/>
      <c r="K124" s="162"/>
      <c r="L124" s="1"/>
      <c r="M124" s="1"/>
      <c r="N124" s="1"/>
      <c r="O124" s="1"/>
    </row>
    <row r="125" spans="1:15" ht="15.75" customHeight="1" x14ac:dyDescent="0.25">
      <c r="A125" s="1"/>
      <c r="B125" s="1"/>
      <c r="C125" s="2"/>
      <c r="D125" s="1"/>
      <c r="E125" s="1"/>
      <c r="F125" s="2"/>
      <c r="G125" s="1"/>
      <c r="H125" s="1"/>
      <c r="I125" s="2"/>
      <c r="J125" s="1"/>
      <c r="K125" s="1"/>
      <c r="L125" s="1"/>
      <c r="M125" s="1"/>
      <c r="N125" s="1"/>
      <c r="O125" s="1"/>
    </row>
    <row r="126" spans="1:15" ht="15.75" customHeight="1" x14ac:dyDescent="0.25">
      <c r="A126" s="1"/>
      <c r="B126" s="1"/>
      <c r="C126" s="2"/>
      <c r="D126" s="1"/>
      <c r="E126" s="1"/>
      <c r="F126" s="2"/>
      <c r="G126" s="180" t="s">
        <v>81</v>
      </c>
      <c r="H126" s="162"/>
      <c r="I126" s="162"/>
      <c r="J126" s="162"/>
      <c r="K126" s="162"/>
      <c r="L126" s="1"/>
      <c r="M126" s="1"/>
      <c r="N126" s="1"/>
      <c r="O126" s="1"/>
    </row>
    <row r="127" spans="1:15" ht="15.75" customHeight="1" x14ac:dyDescent="0.25">
      <c r="A127" s="1"/>
      <c r="B127" s="1"/>
      <c r="C127" s="2"/>
      <c r="D127" s="1"/>
      <c r="E127" s="1"/>
      <c r="F127" s="2"/>
      <c r="G127" s="162"/>
      <c r="H127" s="162"/>
      <c r="I127" s="162"/>
      <c r="J127" s="162"/>
      <c r="K127" s="162"/>
      <c r="L127" s="1"/>
      <c r="M127" s="1"/>
      <c r="N127" s="1"/>
      <c r="O127" s="1"/>
    </row>
    <row r="128" spans="1:15" ht="15.75" customHeight="1" x14ac:dyDescent="0.25">
      <c r="A128" s="1"/>
      <c r="B128" s="1"/>
      <c r="C128" s="2"/>
      <c r="D128" s="1"/>
      <c r="E128" s="1"/>
      <c r="F128" s="2"/>
      <c r="G128" s="162"/>
      <c r="H128" s="162"/>
      <c r="I128" s="162"/>
      <c r="J128" s="162"/>
      <c r="K128" s="162"/>
      <c r="L128" s="1"/>
      <c r="M128" s="1"/>
      <c r="N128" s="1"/>
      <c r="O128" s="1"/>
    </row>
    <row r="129" spans="1:15" ht="15.75" customHeight="1" x14ac:dyDescent="0.25">
      <c r="A129" s="1"/>
      <c r="B129" s="1"/>
      <c r="C129" s="2"/>
      <c r="D129" s="1"/>
      <c r="E129" s="1"/>
      <c r="F129" s="2"/>
      <c r="G129" s="162"/>
      <c r="H129" s="162"/>
      <c r="I129" s="162"/>
      <c r="J129" s="162"/>
      <c r="K129" s="162"/>
      <c r="L129" s="1"/>
      <c r="M129" s="1"/>
      <c r="N129" s="1"/>
      <c r="O129" s="1"/>
    </row>
    <row r="130" spans="1:15" ht="15.75" customHeight="1" x14ac:dyDescent="0.25">
      <c r="A130" s="1"/>
      <c r="B130" s="1"/>
      <c r="C130" s="2"/>
      <c r="D130" s="1"/>
      <c r="E130" s="1"/>
      <c r="F130" s="2"/>
      <c r="G130" s="181" t="s">
        <v>82</v>
      </c>
      <c r="H130" s="154"/>
      <c r="I130" s="86" t="s">
        <v>83</v>
      </c>
      <c r="J130" s="86" t="s">
        <v>84</v>
      </c>
      <c r="K130" s="1"/>
      <c r="L130" s="1"/>
      <c r="M130" s="1"/>
      <c r="N130" s="1"/>
      <c r="O130" s="1"/>
    </row>
    <row r="131" spans="1:15" ht="15.75" customHeight="1" x14ac:dyDescent="0.25">
      <c r="A131" s="1"/>
      <c r="B131" s="1"/>
      <c r="C131" s="2"/>
      <c r="D131" s="1"/>
      <c r="E131" s="1"/>
      <c r="F131" s="2"/>
      <c r="G131" s="1"/>
      <c r="H131" s="5" t="s">
        <v>85</v>
      </c>
      <c r="I131" s="63">
        <v>0</v>
      </c>
      <c r="J131" s="63">
        <v>0</v>
      </c>
      <c r="K131" s="1"/>
      <c r="L131" s="1"/>
      <c r="M131" s="1"/>
      <c r="N131" s="1"/>
      <c r="O131" s="1"/>
    </row>
    <row r="132" spans="1:15" ht="15.75" customHeight="1" x14ac:dyDescent="0.25">
      <c r="A132" s="1"/>
      <c r="B132" s="1"/>
      <c r="C132" s="2"/>
      <c r="D132" s="1"/>
      <c r="E132" s="1"/>
      <c r="F132" s="2"/>
      <c r="G132" s="1"/>
      <c r="H132" s="5" t="s">
        <v>86</v>
      </c>
      <c r="I132" s="63">
        <v>2</v>
      </c>
      <c r="J132" s="63">
        <v>3</v>
      </c>
      <c r="K132" s="1"/>
      <c r="L132" s="1"/>
      <c r="M132" s="1"/>
      <c r="N132" s="1"/>
      <c r="O132" s="1"/>
    </row>
    <row r="133" spans="1:15" ht="15.75" customHeight="1" x14ac:dyDescent="0.25">
      <c r="A133" s="1"/>
      <c r="B133" s="1"/>
      <c r="C133" s="87" t="s">
        <v>87</v>
      </c>
      <c r="D133" s="88"/>
      <c r="E133" s="88"/>
      <c r="F133" s="2"/>
      <c r="G133" s="1"/>
      <c r="H133" s="5" t="s">
        <v>88</v>
      </c>
      <c r="I133" s="63">
        <v>3</v>
      </c>
      <c r="J133" s="63">
        <v>4</v>
      </c>
      <c r="K133" s="1"/>
      <c r="L133" s="1"/>
      <c r="M133" s="1"/>
      <c r="N133" s="1"/>
      <c r="O133" s="1"/>
    </row>
    <row r="134" spans="1:15" ht="31.5" customHeight="1" x14ac:dyDescent="0.25">
      <c r="A134" s="1"/>
      <c r="B134" s="1"/>
      <c r="C134" s="49" t="s">
        <v>89</v>
      </c>
      <c r="D134" s="49" t="s">
        <v>83</v>
      </c>
      <c r="E134" s="49" t="s">
        <v>84</v>
      </c>
      <c r="F134" s="2"/>
      <c r="G134" s="182" t="s">
        <v>90</v>
      </c>
      <c r="H134" s="162"/>
      <c r="I134" s="63">
        <v>0</v>
      </c>
      <c r="J134" s="63">
        <v>0</v>
      </c>
      <c r="K134" s="1"/>
      <c r="L134" s="1"/>
      <c r="M134" s="1"/>
      <c r="N134" s="1"/>
      <c r="O134" s="1"/>
    </row>
    <row r="135" spans="1:15" ht="28.5" customHeight="1" x14ac:dyDescent="0.25">
      <c r="A135" s="1"/>
      <c r="B135" s="1"/>
      <c r="C135" s="89" t="s">
        <v>91</v>
      </c>
      <c r="D135" s="63">
        <v>5</v>
      </c>
      <c r="E135" s="63">
        <v>7</v>
      </c>
      <c r="F135" s="2"/>
      <c r="G135" s="183" t="s">
        <v>92</v>
      </c>
      <c r="H135" s="162"/>
      <c r="I135" s="63">
        <v>3</v>
      </c>
      <c r="J135" s="63">
        <v>3</v>
      </c>
      <c r="K135" s="1"/>
      <c r="L135" s="1"/>
      <c r="M135" s="1"/>
      <c r="N135" s="1"/>
      <c r="O135" s="1"/>
    </row>
    <row r="136" spans="1:15" ht="15.75" customHeight="1" x14ac:dyDescent="0.25">
      <c r="A136" s="1"/>
      <c r="B136" s="1"/>
      <c r="C136" s="5" t="s">
        <v>93</v>
      </c>
      <c r="D136" s="63">
        <v>4</v>
      </c>
      <c r="E136" s="63">
        <v>4</v>
      </c>
      <c r="F136" s="2"/>
      <c r="G136" s="1"/>
      <c r="H136" s="5" t="s">
        <v>94</v>
      </c>
      <c r="I136" s="63">
        <v>0</v>
      </c>
      <c r="J136" s="63">
        <v>0</v>
      </c>
      <c r="K136" s="1"/>
      <c r="L136" s="1"/>
      <c r="M136" s="1"/>
      <c r="N136" s="1"/>
      <c r="O136" s="1"/>
    </row>
    <row r="137" spans="1:15" ht="15.75" customHeight="1" x14ac:dyDescent="0.25">
      <c r="A137" s="1"/>
      <c r="B137" s="1"/>
      <c r="C137" s="2"/>
      <c r="D137" s="1"/>
      <c r="E137" s="1"/>
      <c r="F137" s="2"/>
      <c r="G137" s="1"/>
      <c r="H137" s="5" t="s">
        <v>95</v>
      </c>
      <c r="I137" s="63">
        <v>0</v>
      </c>
      <c r="J137" s="63">
        <v>0</v>
      </c>
      <c r="K137" s="1"/>
      <c r="L137" s="1"/>
      <c r="M137" s="1"/>
      <c r="N137" s="1"/>
      <c r="O137" s="1"/>
    </row>
    <row r="138" spans="1:15" ht="15.75" customHeight="1" x14ac:dyDescent="0.25">
      <c r="A138" s="1"/>
      <c r="B138" s="1"/>
      <c r="C138" s="75" t="s">
        <v>96</v>
      </c>
      <c r="D138" s="49">
        <f t="shared" ref="D138:E138" si="4">SUM(D135:D136)</f>
        <v>9</v>
      </c>
      <c r="E138" s="49">
        <f t="shared" si="4"/>
        <v>11</v>
      </c>
      <c r="F138" s="2"/>
      <c r="G138" s="1"/>
      <c r="H138" s="5" t="s">
        <v>97</v>
      </c>
      <c r="I138" s="63">
        <v>8</v>
      </c>
      <c r="J138" s="63">
        <v>8</v>
      </c>
      <c r="K138" s="1"/>
      <c r="L138" s="1"/>
      <c r="M138" s="1"/>
      <c r="N138" s="1"/>
      <c r="O138" s="1"/>
    </row>
    <row r="139" spans="1:15" ht="15.75" customHeight="1" x14ac:dyDescent="0.25">
      <c r="A139" s="1"/>
      <c r="B139" s="1"/>
      <c r="C139" s="72" t="s">
        <v>18</v>
      </c>
      <c r="D139" s="90" t="s">
        <v>164</v>
      </c>
      <c r="E139" s="90" t="s">
        <v>165</v>
      </c>
      <c r="F139" s="2"/>
      <c r="G139" s="1"/>
      <c r="H139" s="5" t="s">
        <v>99</v>
      </c>
      <c r="I139" s="63">
        <v>0</v>
      </c>
      <c r="J139" s="63">
        <v>0</v>
      </c>
      <c r="K139" s="1"/>
      <c r="L139" s="1"/>
      <c r="M139" s="1"/>
      <c r="N139" s="1"/>
      <c r="O139" s="1"/>
    </row>
    <row r="140" spans="1:15" ht="15.75" customHeight="1" x14ac:dyDescent="0.25">
      <c r="A140" s="1"/>
      <c r="B140" s="1"/>
      <c r="C140" s="2"/>
      <c r="D140" s="1"/>
      <c r="E140" s="1"/>
      <c r="F140" s="2"/>
      <c r="G140" s="1"/>
      <c r="H140" s="5" t="s">
        <v>100</v>
      </c>
      <c r="I140" s="63">
        <v>2</v>
      </c>
      <c r="J140" s="63">
        <v>2</v>
      </c>
      <c r="K140" s="1"/>
      <c r="L140" s="1"/>
      <c r="M140" s="1"/>
      <c r="N140" s="1"/>
      <c r="O140" s="1"/>
    </row>
    <row r="141" spans="1:15" ht="15.75" customHeight="1" x14ac:dyDescent="0.25">
      <c r="A141" s="1"/>
      <c r="B141" s="1"/>
      <c r="C141" s="91" t="s">
        <v>101</v>
      </c>
      <c r="D141" s="92">
        <f t="shared" ref="D141:E141" si="5">D138/100</f>
        <v>0.09</v>
      </c>
      <c r="E141" s="92">
        <f t="shared" si="5"/>
        <v>0.11</v>
      </c>
      <c r="F141" s="2"/>
      <c r="G141" s="1"/>
      <c r="H141" s="1"/>
      <c r="I141" s="63"/>
      <c r="J141" s="63"/>
      <c r="K141" s="1"/>
      <c r="L141" s="1"/>
      <c r="M141" s="1"/>
      <c r="N141" s="1"/>
      <c r="O141" s="1"/>
    </row>
    <row r="142" spans="1:15" ht="15.75" customHeight="1" x14ac:dyDescent="0.25">
      <c r="A142" s="1"/>
      <c r="B142" s="1"/>
      <c r="C142" s="72" t="s">
        <v>18</v>
      </c>
      <c r="D142" s="90" t="s">
        <v>166</v>
      </c>
      <c r="E142" s="90" t="s">
        <v>167</v>
      </c>
      <c r="F142" s="2"/>
      <c r="G142" s="1"/>
      <c r="H142" s="75" t="s">
        <v>104</v>
      </c>
      <c r="I142" s="49">
        <f t="shared" ref="I142:J142" si="6">SUM(I131:I140)</f>
        <v>18</v>
      </c>
      <c r="J142" s="49">
        <f t="shared" si="6"/>
        <v>20</v>
      </c>
      <c r="K142" s="1"/>
      <c r="L142" s="1"/>
      <c r="M142" s="1"/>
      <c r="N142" s="1"/>
      <c r="O142" s="1"/>
    </row>
    <row r="143" spans="1:15" ht="15.75" customHeight="1" x14ac:dyDescent="0.25">
      <c r="A143" s="1"/>
      <c r="B143" s="1"/>
      <c r="C143" s="2"/>
      <c r="D143" s="1"/>
      <c r="E143" s="1"/>
      <c r="F143" s="2"/>
      <c r="G143" s="1"/>
      <c r="H143" s="72" t="s">
        <v>18</v>
      </c>
      <c r="I143" s="78" t="s">
        <v>168</v>
      </c>
      <c r="J143" s="78" t="s">
        <v>169</v>
      </c>
      <c r="K143" s="1"/>
      <c r="L143" s="1"/>
      <c r="M143" s="1"/>
      <c r="N143" s="1"/>
      <c r="O143" s="1"/>
    </row>
    <row r="144" spans="1:15" ht="15.75" customHeight="1" x14ac:dyDescent="0.25">
      <c r="A144" s="1"/>
      <c r="B144" s="1"/>
      <c r="C144" s="2"/>
      <c r="D144" s="1"/>
      <c r="E144" s="1"/>
      <c r="F144" s="2"/>
      <c r="G144" s="1"/>
      <c r="H144" s="1"/>
      <c r="I144" s="2"/>
      <c r="J144" s="1"/>
      <c r="K144" s="1"/>
      <c r="L144" s="1"/>
      <c r="M144" s="1"/>
      <c r="N144" s="1"/>
      <c r="O144" s="1"/>
    </row>
    <row r="145" spans="1:15" ht="15.75" customHeight="1" x14ac:dyDescent="0.25">
      <c r="A145" s="1"/>
      <c r="B145" s="1"/>
      <c r="C145" s="2"/>
      <c r="D145" s="1"/>
      <c r="E145" s="1"/>
      <c r="F145" s="2"/>
      <c r="G145" s="93"/>
      <c r="H145" s="94" t="s">
        <v>106</v>
      </c>
      <c r="I145" s="92">
        <f t="shared" ref="I145:J145" si="7">I142/100</f>
        <v>0.18</v>
      </c>
      <c r="J145" s="92">
        <f t="shared" si="7"/>
        <v>0.2</v>
      </c>
      <c r="K145" s="1"/>
      <c r="L145" s="1"/>
      <c r="M145" s="1"/>
      <c r="N145" s="1"/>
      <c r="O145" s="1"/>
    </row>
    <row r="146" spans="1:15" ht="15.75" customHeight="1" x14ac:dyDescent="0.25">
      <c r="A146" s="1"/>
      <c r="B146" s="1"/>
      <c r="C146" s="174" t="s">
        <v>107</v>
      </c>
      <c r="D146" s="153"/>
      <c r="E146" s="154"/>
      <c r="F146" s="66" t="s">
        <v>18</v>
      </c>
      <c r="G146" s="1"/>
      <c r="H146" s="72" t="s">
        <v>18</v>
      </c>
      <c r="I146" s="90" t="s">
        <v>170</v>
      </c>
      <c r="J146" s="90" t="s">
        <v>171</v>
      </c>
      <c r="K146" s="1"/>
      <c r="L146" s="1"/>
      <c r="M146" s="1"/>
      <c r="N146" s="1"/>
      <c r="O146" s="1"/>
    </row>
    <row r="147" spans="1:15" ht="15.75" customHeight="1" x14ac:dyDescent="0.25">
      <c r="A147" s="1"/>
      <c r="B147" s="1"/>
      <c r="C147" s="57" t="s">
        <v>9</v>
      </c>
      <c r="D147" s="95" t="s">
        <v>84</v>
      </c>
      <c r="E147" s="96">
        <f>E141+J145</f>
        <v>0.31</v>
      </c>
      <c r="F147" s="73" t="s">
        <v>172</v>
      </c>
      <c r="G147" s="1"/>
      <c r="H147" s="1"/>
      <c r="I147" s="2"/>
      <c r="J147" s="1"/>
      <c r="K147" s="1"/>
      <c r="L147" s="1"/>
      <c r="M147" s="1"/>
      <c r="N147" s="1"/>
      <c r="O147" s="1"/>
    </row>
    <row r="148" spans="1:15" ht="15.75" customHeight="1" x14ac:dyDescent="0.25">
      <c r="A148" s="1"/>
      <c r="B148" s="1"/>
      <c r="C148" s="57" t="s">
        <v>111</v>
      </c>
      <c r="D148" s="95" t="s">
        <v>83</v>
      </c>
      <c r="E148" s="96">
        <f>D141+I145</f>
        <v>0.27</v>
      </c>
      <c r="F148" s="73" t="s">
        <v>173</v>
      </c>
      <c r="G148" s="1"/>
      <c r="H148" s="1"/>
      <c r="I148" s="2"/>
      <c r="J148" s="1"/>
      <c r="K148" s="1"/>
      <c r="L148" s="1"/>
      <c r="M148" s="1"/>
      <c r="N148" s="1"/>
      <c r="O148" s="1"/>
    </row>
    <row r="149" spans="1:15" ht="15.75" customHeight="1" x14ac:dyDescent="0.25">
      <c r="A149" s="1"/>
      <c r="B149" s="1"/>
      <c r="C149" s="57" t="s">
        <v>11</v>
      </c>
      <c r="D149" s="95" t="s">
        <v>84</v>
      </c>
      <c r="E149" s="96">
        <f>E141+J145</f>
        <v>0.31</v>
      </c>
      <c r="F149" s="73" t="s">
        <v>174</v>
      </c>
      <c r="G149" s="1"/>
      <c r="H149" s="1"/>
      <c r="I149" s="2"/>
      <c r="J149" s="1"/>
      <c r="K149" s="1"/>
      <c r="L149" s="1"/>
      <c r="M149" s="1"/>
      <c r="N149" s="1"/>
      <c r="O149" s="1"/>
    </row>
    <row r="150" spans="1:15" ht="15.75" customHeight="1" x14ac:dyDescent="0.25">
      <c r="A150" s="1"/>
      <c r="B150" s="1"/>
      <c r="C150" s="2"/>
      <c r="D150" s="1"/>
      <c r="E150" s="1"/>
      <c r="F150" s="2"/>
      <c r="G150" s="1"/>
      <c r="H150" s="1"/>
      <c r="I150" s="2"/>
      <c r="J150" s="1"/>
      <c r="K150" s="1"/>
      <c r="L150" s="1"/>
      <c r="M150" s="1"/>
      <c r="N150" s="1"/>
      <c r="O150" s="1"/>
    </row>
    <row r="151" spans="1:15" ht="15.75" customHeight="1" x14ac:dyDescent="0.25">
      <c r="A151" s="1"/>
      <c r="B151" s="1"/>
      <c r="C151" s="2"/>
      <c r="D151" s="1"/>
      <c r="E151" s="1"/>
      <c r="F151" s="2"/>
      <c r="G151" s="1"/>
      <c r="H151" s="1"/>
      <c r="I151" s="2"/>
      <c r="J151" s="1"/>
      <c r="K151" s="1"/>
      <c r="L151" s="1"/>
      <c r="M151" s="1"/>
      <c r="N151" s="1"/>
      <c r="O151" s="1"/>
    </row>
    <row r="152" spans="1:15" ht="15.75" customHeight="1" x14ac:dyDescent="0.25">
      <c r="A152" s="1"/>
      <c r="B152" s="1"/>
      <c r="C152" s="97"/>
      <c r="D152" s="98" t="s">
        <v>113</v>
      </c>
      <c r="E152" s="99" t="s">
        <v>114</v>
      </c>
      <c r="F152" s="100"/>
      <c r="G152" s="1"/>
      <c r="H152" s="1"/>
      <c r="I152" s="2"/>
      <c r="J152" s="1"/>
      <c r="K152" s="1"/>
      <c r="L152" s="1"/>
      <c r="M152" s="1"/>
      <c r="N152" s="1"/>
      <c r="O152" s="1"/>
    </row>
    <row r="153" spans="1:15" ht="15.75" customHeight="1" x14ac:dyDescent="0.25">
      <c r="A153" s="1"/>
      <c r="B153" s="1"/>
      <c r="C153" s="2"/>
      <c r="D153" s="1"/>
      <c r="E153" s="1"/>
      <c r="F153" s="2"/>
      <c r="G153" s="1"/>
      <c r="H153" s="1"/>
      <c r="I153" s="2"/>
      <c r="J153" s="1"/>
      <c r="K153" s="1"/>
      <c r="L153" s="1"/>
      <c r="M153" s="1"/>
      <c r="N153" s="1"/>
      <c r="O153" s="1"/>
    </row>
    <row r="154" spans="1:15" ht="15.75" customHeight="1" x14ac:dyDescent="0.25">
      <c r="A154" s="1"/>
      <c r="B154" s="1"/>
      <c r="C154" s="101"/>
      <c r="D154" s="175" t="s">
        <v>115</v>
      </c>
      <c r="E154" s="176"/>
      <c r="F154" s="102"/>
      <c r="G154" s="1"/>
      <c r="H154" s="1"/>
      <c r="I154" s="2"/>
      <c r="J154" s="1"/>
      <c r="K154" s="1"/>
      <c r="L154" s="1"/>
      <c r="M154" s="1"/>
      <c r="N154" s="1"/>
      <c r="O154" s="1"/>
    </row>
    <row r="155" spans="1:15" ht="15.75" customHeight="1" x14ac:dyDescent="0.25">
      <c r="A155" s="1"/>
      <c r="B155" s="1"/>
      <c r="C155" s="103" t="s">
        <v>9</v>
      </c>
      <c r="D155" s="104">
        <f t="shared" ref="D155:D157" si="8">1+E147</f>
        <v>1.31</v>
      </c>
      <c r="E155" s="105" t="s">
        <v>175</v>
      </c>
      <c r="F155" s="106"/>
      <c r="G155" s="1"/>
      <c r="H155" s="1"/>
      <c r="I155" s="2"/>
      <c r="J155" s="1"/>
      <c r="K155" s="1"/>
      <c r="L155" s="1"/>
      <c r="M155" s="1"/>
      <c r="N155" s="1"/>
      <c r="O155" s="1"/>
    </row>
    <row r="156" spans="1:15" ht="15.75" customHeight="1" x14ac:dyDescent="0.25">
      <c r="A156" s="1"/>
      <c r="B156" s="1"/>
      <c r="C156" s="103" t="s">
        <v>10</v>
      </c>
      <c r="D156" s="104">
        <f t="shared" si="8"/>
        <v>1.27</v>
      </c>
      <c r="E156" s="105" t="s">
        <v>176</v>
      </c>
      <c r="F156" s="106"/>
      <c r="G156" s="1"/>
      <c r="H156" s="1"/>
      <c r="I156" s="2"/>
      <c r="J156" s="1"/>
      <c r="K156" s="1"/>
      <c r="L156" s="1"/>
      <c r="M156" s="1"/>
      <c r="N156" s="1"/>
      <c r="O156" s="1"/>
    </row>
    <row r="157" spans="1:15" ht="15.75" customHeight="1" x14ac:dyDescent="0.25">
      <c r="A157" s="1"/>
      <c r="B157" s="1"/>
      <c r="C157" s="107" t="s">
        <v>11</v>
      </c>
      <c r="D157" s="108">
        <f t="shared" si="8"/>
        <v>1.31</v>
      </c>
      <c r="E157" s="109" t="s">
        <v>177</v>
      </c>
      <c r="F157" s="110"/>
      <c r="G157" s="1"/>
      <c r="H157" s="1"/>
      <c r="I157" s="2"/>
      <c r="J157" s="1"/>
      <c r="K157" s="1"/>
      <c r="L157" s="1"/>
      <c r="M157" s="1"/>
      <c r="N157" s="1"/>
      <c r="O157" s="1"/>
    </row>
    <row r="158" spans="1:15" ht="15.75" customHeight="1" x14ac:dyDescent="0.25">
      <c r="A158" s="1"/>
      <c r="B158" s="1"/>
      <c r="C158" s="2"/>
      <c r="D158" s="1"/>
      <c r="E158" s="1"/>
      <c r="F158" s="2"/>
      <c r="G158" s="1"/>
      <c r="H158" s="1"/>
      <c r="I158" s="2"/>
      <c r="J158" s="1"/>
      <c r="K158" s="1"/>
      <c r="L158" s="1"/>
      <c r="M158" s="1"/>
      <c r="N158" s="1"/>
      <c r="O158" s="1"/>
    </row>
    <row r="159" spans="1:15" ht="15.75" customHeight="1" x14ac:dyDescent="0.25">
      <c r="A159" s="1"/>
      <c r="B159" s="1"/>
      <c r="C159" s="2"/>
      <c r="D159" s="1"/>
      <c r="E159" s="1"/>
      <c r="F159" s="2"/>
      <c r="G159" s="1"/>
      <c r="H159" s="1"/>
      <c r="I159" s="2"/>
      <c r="J159" s="1"/>
      <c r="K159" s="1"/>
      <c r="L159" s="1"/>
      <c r="M159" s="1"/>
      <c r="N159" s="1"/>
      <c r="O159" s="1"/>
    </row>
    <row r="160" spans="1:15" ht="15.75" customHeight="1" x14ac:dyDescent="0.25">
      <c r="A160" s="1"/>
      <c r="B160" s="3" t="s">
        <v>119</v>
      </c>
      <c r="C160" s="4" t="s">
        <v>120</v>
      </c>
      <c r="D160" s="1"/>
      <c r="E160" s="1"/>
      <c r="F160" s="2"/>
      <c r="G160" s="1"/>
      <c r="H160" s="1"/>
      <c r="I160" s="2"/>
      <c r="J160" s="1"/>
      <c r="K160" s="1"/>
      <c r="L160" s="1"/>
      <c r="M160" s="1"/>
      <c r="N160" s="1"/>
      <c r="O160" s="1"/>
    </row>
    <row r="161" spans="1:15" ht="15.75" customHeight="1" x14ac:dyDescent="0.25">
      <c r="A161" s="1"/>
      <c r="B161" s="1"/>
      <c r="C161" s="2"/>
      <c r="D161" s="1"/>
      <c r="E161" s="1"/>
      <c r="F161" s="2"/>
      <c r="G161" s="1"/>
      <c r="H161" s="1"/>
      <c r="I161" s="2"/>
      <c r="J161" s="1"/>
      <c r="K161" s="1"/>
      <c r="L161" s="1"/>
      <c r="M161" s="1"/>
      <c r="N161" s="1"/>
      <c r="O161" s="1"/>
    </row>
    <row r="162" spans="1:15" ht="15.75" customHeight="1" x14ac:dyDescent="0.25">
      <c r="A162" s="1"/>
      <c r="B162" s="1"/>
      <c r="C162" s="111"/>
      <c r="D162" s="112" t="s">
        <v>121</v>
      </c>
      <c r="E162" s="113" t="s">
        <v>178</v>
      </c>
      <c r="F162" s="114"/>
      <c r="G162" s="115"/>
      <c r="H162" s="116"/>
      <c r="I162" s="2"/>
      <c r="J162" s="1"/>
      <c r="K162" s="1"/>
      <c r="L162" s="1"/>
      <c r="M162" s="1"/>
      <c r="N162" s="1"/>
      <c r="O162" s="1"/>
    </row>
    <row r="163" spans="1:15" ht="15.75" customHeight="1" x14ac:dyDescent="0.25">
      <c r="A163" s="1"/>
      <c r="B163" s="1"/>
      <c r="C163" s="2"/>
      <c r="D163" s="1"/>
      <c r="E163" s="1"/>
      <c r="F163" s="2"/>
      <c r="G163" s="1"/>
      <c r="H163" s="1"/>
      <c r="I163" s="2"/>
      <c r="J163" s="1"/>
      <c r="K163" s="1"/>
      <c r="L163" s="1"/>
      <c r="M163" s="1"/>
      <c r="N163" s="1"/>
      <c r="O163" s="1"/>
    </row>
    <row r="164" spans="1:15" ht="15.75" customHeight="1" x14ac:dyDescent="0.25">
      <c r="A164" s="1"/>
      <c r="B164" s="1"/>
      <c r="C164" s="2"/>
      <c r="D164" s="1"/>
      <c r="E164" s="1"/>
      <c r="F164" s="2"/>
      <c r="G164" s="1"/>
      <c r="H164" s="1"/>
      <c r="I164" s="2"/>
      <c r="J164" s="1"/>
      <c r="K164" s="1"/>
      <c r="L164" s="1"/>
      <c r="M164" s="1"/>
      <c r="N164" s="1"/>
      <c r="O164" s="1"/>
    </row>
    <row r="165" spans="1:15" ht="15.75" customHeight="1" x14ac:dyDescent="0.25">
      <c r="A165" s="1"/>
      <c r="B165" s="1"/>
      <c r="C165" s="1"/>
      <c r="D165" s="117" t="s">
        <v>123</v>
      </c>
      <c r="E165" s="173" t="s">
        <v>115</v>
      </c>
      <c r="F165" s="171"/>
      <c r="G165" s="179" t="s">
        <v>124</v>
      </c>
      <c r="H165" s="151"/>
      <c r="I165" s="66" t="s">
        <v>18</v>
      </c>
      <c r="J165" s="1"/>
      <c r="K165" s="1"/>
      <c r="L165" s="1"/>
      <c r="M165" s="1"/>
      <c r="N165" s="1"/>
      <c r="O165" s="1"/>
    </row>
    <row r="166" spans="1:15" ht="15.75" customHeight="1" x14ac:dyDescent="0.25">
      <c r="A166" s="1"/>
      <c r="B166" s="1"/>
      <c r="C166" s="118" t="s">
        <v>9</v>
      </c>
      <c r="D166" s="119">
        <f t="shared" ref="D166:D168" si="9">G104</f>
        <v>1.2575000000000001</v>
      </c>
      <c r="E166" s="120">
        <f t="shared" ref="E166:E168" si="10">D155</f>
        <v>1.31</v>
      </c>
      <c r="F166" s="26" t="s">
        <v>125</v>
      </c>
      <c r="G166" s="121">
        <f t="shared" ref="G166:G168" si="11">D166*E166</f>
        <v>1.6473250000000002</v>
      </c>
      <c r="H166" s="122" t="s">
        <v>21</v>
      </c>
      <c r="I166" s="73" t="s">
        <v>179</v>
      </c>
      <c r="J166" s="1"/>
      <c r="K166" s="1"/>
      <c r="L166" s="1"/>
      <c r="M166" s="1"/>
      <c r="N166" s="1"/>
      <c r="O166" s="1"/>
    </row>
    <row r="167" spans="1:15" ht="15.75" customHeight="1" x14ac:dyDescent="0.25">
      <c r="A167" s="1"/>
      <c r="B167" s="1"/>
      <c r="C167" s="123" t="s">
        <v>10</v>
      </c>
      <c r="D167" s="124">
        <f t="shared" si="9"/>
        <v>2.0434999999999999</v>
      </c>
      <c r="E167" s="125">
        <f t="shared" si="10"/>
        <v>1.27</v>
      </c>
      <c r="F167" s="126" t="s">
        <v>125</v>
      </c>
      <c r="G167" s="121">
        <f t="shared" si="11"/>
        <v>2.5952449999999998</v>
      </c>
      <c r="H167" s="122" t="s">
        <v>21</v>
      </c>
      <c r="I167" s="73" t="s">
        <v>180</v>
      </c>
      <c r="J167" s="1"/>
      <c r="K167" s="1"/>
      <c r="L167" s="1"/>
      <c r="M167" s="1"/>
      <c r="N167" s="1"/>
      <c r="O167" s="1"/>
    </row>
    <row r="168" spans="1:15" ht="15.75" customHeight="1" x14ac:dyDescent="0.25">
      <c r="A168" s="1"/>
      <c r="B168" s="1"/>
      <c r="C168" s="127" t="s">
        <v>11</v>
      </c>
      <c r="D168" s="128">
        <f t="shared" si="9"/>
        <v>2.6161099999999999</v>
      </c>
      <c r="E168" s="129">
        <f t="shared" si="10"/>
        <v>1.31</v>
      </c>
      <c r="F168" s="130" t="s">
        <v>125</v>
      </c>
      <c r="G168" s="131">
        <f t="shared" si="11"/>
        <v>3.4271041000000002</v>
      </c>
      <c r="H168" s="132" t="s">
        <v>21</v>
      </c>
      <c r="I168" s="73" t="s">
        <v>181</v>
      </c>
      <c r="J168" s="1"/>
      <c r="K168" s="1"/>
      <c r="L168" s="1"/>
      <c r="M168" s="1"/>
      <c r="N168" s="1"/>
      <c r="O168" s="1"/>
    </row>
    <row r="169" spans="1:15" ht="15.75" customHeight="1" x14ac:dyDescent="0.25">
      <c r="A169" s="1"/>
      <c r="B169" s="1"/>
      <c r="C169" s="2"/>
      <c r="D169" s="1"/>
      <c r="E169" s="1"/>
      <c r="F169" s="2"/>
      <c r="G169" s="1"/>
      <c r="H169" s="1"/>
      <c r="I169" s="2"/>
      <c r="J169" s="1"/>
      <c r="K169" s="1"/>
      <c r="L169" s="1"/>
      <c r="M169" s="1"/>
      <c r="N169" s="1"/>
      <c r="O169" s="1"/>
    </row>
    <row r="170" spans="1:15" ht="15.75" customHeight="1" x14ac:dyDescent="0.25">
      <c r="A170" s="1"/>
      <c r="B170" s="1"/>
      <c r="C170" s="2"/>
      <c r="D170" s="133" t="s">
        <v>129</v>
      </c>
      <c r="E170" s="133"/>
      <c r="F170" s="134"/>
      <c r="G170" s="135">
        <f>G166+G167+G168</f>
        <v>7.6696740999999999</v>
      </c>
      <c r="H170" s="133" t="s">
        <v>21</v>
      </c>
      <c r="I170" s="73" t="s">
        <v>182</v>
      </c>
      <c r="J170" s="1"/>
      <c r="K170" s="1"/>
      <c r="L170" s="1"/>
      <c r="M170" s="1"/>
      <c r="N170" s="1"/>
      <c r="O170" s="1"/>
    </row>
    <row r="171" spans="1:15" ht="15.75" customHeight="1" x14ac:dyDescent="0.25">
      <c r="A171" s="1"/>
      <c r="B171" s="1"/>
      <c r="C171" s="2"/>
      <c r="D171" s="1"/>
      <c r="E171" s="1"/>
      <c r="F171" s="2"/>
      <c r="G171" s="1"/>
      <c r="H171" s="1"/>
      <c r="I171" s="2"/>
      <c r="J171" s="1"/>
      <c r="K171" s="1"/>
      <c r="L171" s="1"/>
      <c r="M171" s="1"/>
      <c r="N171" s="1"/>
      <c r="O171" s="1"/>
    </row>
    <row r="172" spans="1:15" ht="15.75" customHeight="1" x14ac:dyDescent="0.25">
      <c r="A172" s="1"/>
      <c r="B172" s="1"/>
      <c r="C172" s="4" t="s">
        <v>131</v>
      </c>
      <c r="D172" s="1"/>
      <c r="E172" s="1"/>
      <c r="F172" s="2"/>
      <c r="G172" s="1"/>
      <c r="H172" s="1"/>
      <c r="I172" s="2"/>
      <c r="J172" s="1"/>
      <c r="K172" s="1"/>
      <c r="L172" s="1"/>
      <c r="M172" s="1"/>
      <c r="N172" s="1"/>
      <c r="O172" s="1"/>
    </row>
    <row r="173" spans="1:15" ht="15.75" customHeight="1" x14ac:dyDescent="0.25">
      <c r="A173" s="1"/>
      <c r="B173" s="1"/>
      <c r="C173" s="2"/>
      <c r="D173" s="55" t="s">
        <v>132</v>
      </c>
      <c r="E173" s="1"/>
      <c r="F173" s="2"/>
      <c r="G173" s="1"/>
      <c r="H173" s="1"/>
      <c r="I173" s="2"/>
      <c r="J173" s="1"/>
      <c r="K173" s="1"/>
      <c r="L173" s="1"/>
      <c r="M173" s="1"/>
      <c r="N173" s="1"/>
      <c r="O173" s="1"/>
    </row>
    <row r="174" spans="1:15" ht="15.75" customHeight="1" x14ac:dyDescent="0.25">
      <c r="A174" s="1"/>
      <c r="B174" s="1"/>
      <c r="C174" s="2"/>
      <c r="D174" s="55" t="s">
        <v>133</v>
      </c>
      <c r="E174" s="1"/>
      <c r="F174" s="2"/>
      <c r="G174" s="1"/>
      <c r="H174" s="1"/>
      <c r="I174" s="2"/>
      <c r="J174" s="1"/>
      <c r="K174" s="1"/>
      <c r="L174" s="1"/>
      <c r="M174" s="1"/>
      <c r="N174" s="1"/>
      <c r="O174" s="1"/>
    </row>
    <row r="175" spans="1:15" ht="15.75" customHeight="1" x14ac:dyDescent="0.25">
      <c r="A175" s="1"/>
      <c r="B175" s="1"/>
      <c r="C175" s="2"/>
      <c r="D175" s="55" t="s">
        <v>134</v>
      </c>
      <c r="E175" s="1"/>
      <c r="F175" s="2"/>
      <c r="G175" s="1"/>
      <c r="H175" s="1"/>
      <c r="I175" s="2"/>
      <c r="J175" s="1"/>
      <c r="K175" s="1"/>
      <c r="L175" s="1"/>
      <c r="M175" s="1"/>
      <c r="N175" s="1"/>
      <c r="O175" s="1"/>
    </row>
    <row r="176" spans="1:15" ht="15.75" customHeight="1" x14ac:dyDescent="0.25">
      <c r="A176" s="1"/>
      <c r="B176" s="1"/>
      <c r="C176" s="2"/>
      <c r="D176" s="55" t="s">
        <v>135</v>
      </c>
      <c r="E176" s="1"/>
      <c r="F176" s="2"/>
      <c r="G176" s="1"/>
      <c r="H176" s="1"/>
      <c r="I176" s="2"/>
      <c r="J176" s="1"/>
      <c r="K176" s="1"/>
      <c r="L176" s="1"/>
      <c r="M176" s="1"/>
      <c r="N176" s="1"/>
      <c r="O176" s="1"/>
    </row>
    <row r="177" spans="1:15" ht="15.75" customHeight="1" x14ac:dyDescent="0.25">
      <c r="A177" s="1"/>
      <c r="B177" s="1"/>
      <c r="C177" s="2"/>
      <c r="D177" s="55" t="s">
        <v>136</v>
      </c>
      <c r="E177" s="1"/>
      <c r="F177" s="2"/>
      <c r="G177" s="1"/>
      <c r="H177" s="1"/>
      <c r="I177" s="2"/>
      <c r="J177" s="1"/>
      <c r="K177" s="1"/>
      <c r="L177" s="1"/>
      <c r="M177" s="1"/>
      <c r="N177" s="1"/>
      <c r="O177" s="1"/>
    </row>
    <row r="178" spans="1:15" ht="15.75" customHeight="1" x14ac:dyDescent="0.25">
      <c r="A178" s="1"/>
      <c r="B178" s="1"/>
      <c r="C178" s="2"/>
      <c r="D178" s="55" t="s">
        <v>137</v>
      </c>
      <c r="E178" s="1"/>
      <c r="F178" s="2"/>
      <c r="G178" s="1"/>
      <c r="H178" s="1"/>
      <c r="I178" s="2"/>
      <c r="J178" s="1"/>
      <c r="K178" s="1"/>
      <c r="L178" s="1"/>
      <c r="M178" s="1"/>
      <c r="N178" s="1"/>
      <c r="O178" s="1"/>
    </row>
    <row r="179" spans="1:15" ht="15.75" customHeight="1" x14ac:dyDescent="0.25">
      <c r="A179" s="1"/>
      <c r="B179" s="1"/>
      <c r="C179" s="2"/>
      <c r="D179" s="1"/>
      <c r="E179" s="1"/>
      <c r="F179" s="2"/>
      <c r="G179" s="1"/>
      <c r="H179" s="1"/>
      <c r="I179" s="2"/>
      <c r="J179" s="1"/>
      <c r="K179" s="1"/>
      <c r="L179" s="1"/>
      <c r="M179" s="1"/>
      <c r="N179" s="1"/>
      <c r="O179" s="1"/>
    </row>
    <row r="180" spans="1:15" ht="15.75" customHeight="1" x14ac:dyDescent="0.25">
      <c r="A180" s="1"/>
      <c r="B180" s="1"/>
      <c r="C180" s="4" t="s">
        <v>138</v>
      </c>
      <c r="D180" s="1"/>
      <c r="E180" s="1"/>
      <c r="F180" s="2"/>
      <c r="G180" s="1"/>
      <c r="H180" s="1"/>
      <c r="I180" s="2"/>
      <c r="J180" s="1"/>
      <c r="K180" s="1"/>
      <c r="L180" s="1"/>
      <c r="M180" s="1"/>
      <c r="N180" s="1"/>
      <c r="O180" s="1"/>
    </row>
    <row r="189" spans="1:15" ht="15" customHeight="1" x14ac:dyDescent="0.25">
      <c r="K189" s="138"/>
      <c r="L189" s="138"/>
    </row>
  </sheetData>
  <mergeCells count="57">
    <mergeCell ref="C40:E40"/>
    <mergeCell ref="F40:H40"/>
    <mergeCell ref="I40:K40"/>
    <mergeCell ref="I41:K41"/>
    <mergeCell ref="C41:E41"/>
    <mergeCell ref="A1:O1"/>
    <mergeCell ref="C26:C27"/>
    <mergeCell ref="D26:D27"/>
    <mergeCell ref="D11:E11"/>
    <mergeCell ref="I36:K36"/>
    <mergeCell ref="I10:K10"/>
    <mergeCell ref="J11:K11"/>
    <mergeCell ref="I35:K35"/>
    <mergeCell ref="F10:H10"/>
    <mergeCell ref="G26:G27"/>
    <mergeCell ref="G11:H11"/>
    <mergeCell ref="C36:E36"/>
    <mergeCell ref="C35:E35"/>
    <mergeCell ref="F35:H35"/>
    <mergeCell ref="C10:E10"/>
    <mergeCell ref="C72:O73"/>
    <mergeCell ref="K68:K69"/>
    <mergeCell ref="C51:K52"/>
    <mergeCell ref="C61:E61"/>
    <mergeCell ref="D62:E62"/>
    <mergeCell ref="H54:O58"/>
    <mergeCell ref="J68:J69"/>
    <mergeCell ref="C68:C69"/>
    <mergeCell ref="D68:D69"/>
    <mergeCell ref="E68:E69"/>
    <mergeCell ref="F68:F69"/>
    <mergeCell ref="G68:G69"/>
    <mergeCell ref="H68:H69"/>
    <mergeCell ref="I68:I69"/>
    <mergeCell ref="G103:H103"/>
    <mergeCell ref="G111:K116"/>
    <mergeCell ref="G118:K124"/>
    <mergeCell ref="G126:K129"/>
    <mergeCell ref="E26:E27"/>
    <mergeCell ref="F26:F27"/>
    <mergeCell ref="H26:H27"/>
    <mergeCell ref="I26:I27"/>
    <mergeCell ref="J26:J27"/>
    <mergeCell ref="K26:K27"/>
    <mergeCell ref="F61:H61"/>
    <mergeCell ref="G62:H62"/>
    <mergeCell ref="I61:K61"/>
    <mergeCell ref="J62:K62"/>
    <mergeCell ref="F36:H36"/>
    <mergeCell ref="F41:H41"/>
    <mergeCell ref="G130:H130"/>
    <mergeCell ref="G135:H135"/>
    <mergeCell ref="C146:E146"/>
    <mergeCell ref="D154:E154"/>
    <mergeCell ref="G165:H165"/>
    <mergeCell ref="E165:F165"/>
    <mergeCell ref="G134:H134"/>
  </mergeCells>
  <phoneticPr fontId="17" type="noConversion"/>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FC59A-3E10-4CEC-9675-99C9B4B7D4DC}">
  <dimension ref="A1"/>
  <sheetViews>
    <sheetView topLeftCell="A8" zoomScale="121" workbookViewId="0"/>
  </sheetViews>
  <sheetFormatPr baseColWidth="10" defaultColWidth="9" defaultRowHeight="15.7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TE 5 Lecturas</vt:lpstr>
      <vt:lpstr>TE 10 Lecturas</vt:lpstr>
      <vt:lpstr>TABLA MAYTAG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MCCS</dc:creator>
  <cp:lastModifiedBy>David Artunduaga</cp:lastModifiedBy>
  <dcterms:created xsi:type="dcterms:W3CDTF">2022-09-23T22:15:23Z</dcterms:created>
  <dcterms:modified xsi:type="dcterms:W3CDTF">2026-04-21T00:37:39Z</dcterms:modified>
</cp:coreProperties>
</file>